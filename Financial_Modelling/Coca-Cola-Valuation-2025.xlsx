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hmeshdesai/Desktop/Equity Research/Coca Cola/"/>
    </mc:Choice>
  </mc:AlternateContent>
  <xr:revisionPtr revIDLastSave="0" documentId="13_ncr:1_{1FC8F20D-72AF-E44C-BE85-A6E96F58EBE6}" xr6:coauthVersionLast="47" xr6:coauthVersionMax="47" xr10:uidLastSave="{00000000-0000-0000-0000-000000000000}"/>
  <bookViews>
    <workbookView xWindow="0" yWindow="740" windowWidth="29400" windowHeight="17160" activeTab="4" xr2:uid="{6F7C7AD1-E35E-45CE-B0AD-A577C21BDA1D}"/>
  </bookViews>
  <sheets>
    <sheet name="Valuation" sheetId="8" r:id="rId1"/>
    <sheet name="Cost of equity" sheetId="7" r:id="rId2"/>
    <sheet name="Cost of debt" sheetId="9" r:id="rId3"/>
    <sheet name="CFS" sheetId="6" r:id="rId4"/>
    <sheet name="Balance Sheet" sheetId="5" r:id="rId5"/>
    <sheet name="Debt" sheetId="4" r:id="rId6"/>
    <sheet name="Capex" sheetId="3" r:id="rId7"/>
    <sheet name="P&amp;L" sheetId="2" r:id="rId8"/>
    <sheet name="Revenue" sheetId="1" r:id="rId9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8" l="1"/>
  <c r="L18" i="8" s="1"/>
  <c r="J18" i="8"/>
  <c r="G18" i="8"/>
  <c r="F18" i="8" s="1"/>
  <c r="H18" i="8"/>
  <c r="I17" i="5"/>
  <c r="J17" i="5" s="1"/>
  <c r="K17" i="5" s="1"/>
  <c r="L17" i="5" s="1"/>
  <c r="H17" i="5"/>
  <c r="N35" i="7"/>
  <c r="K35" i="7"/>
  <c r="H35" i="7"/>
  <c r="E35" i="7"/>
  <c r="B20" i="9" l="1"/>
  <c r="B17" i="9"/>
  <c r="B16" i="9"/>
  <c r="H36" i="5"/>
  <c r="H35" i="5"/>
  <c r="H24" i="5"/>
  <c r="H21" i="5"/>
  <c r="H22" i="5"/>
  <c r="D10" i="3"/>
  <c r="E10" i="3"/>
  <c r="F10" i="3"/>
  <c r="G10" i="3"/>
  <c r="G3" i="2"/>
  <c r="I31" i="5"/>
  <c r="J31" i="5"/>
  <c r="K31" i="5"/>
  <c r="L31" i="5"/>
  <c r="H31" i="5"/>
  <c r="B33" i="8"/>
  <c r="H25" i="3" l="1"/>
  <c r="B22" i="9"/>
  <c r="C28" i="7"/>
  <c r="E28" i="7" s="1"/>
  <c r="D27" i="7"/>
  <c r="C27" i="7"/>
  <c r="D26" i="7"/>
  <c r="C26" i="7"/>
  <c r="D22" i="7"/>
  <c r="D31" i="7" s="1"/>
  <c r="C22" i="7"/>
  <c r="C31" i="7" s="1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B25" i="8"/>
  <c r="B42" i="8" s="1"/>
  <c r="B22" i="8"/>
  <c r="B39" i="8" s="1"/>
  <c r="B21" i="8"/>
  <c r="B38" i="8" s="1"/>
  <c r="O232" i="7"/>
  <c r="L232" i="7"/>
  <c r="I232" i="7"/>
  <c r="F232" i="7"/>
  <c r="C232" i="7"/>
  <c r="O231" i="7"/>
  <c r="L231" i="7"/>
  <c r="I231" i="7"/>
  <c r="F231" i="7"/>
  <c r="C231" i="7"/>
  <c r="O230" i="7"/>
  <c r="L230" i="7"/>
  <c r="I230" i="7"/>
  <c r="F230" i="7"/>
  <c r="C230" i="7"/>
  <c r="O229" i="7"/>
  <c r="L229" i="7"/>
  <c r="I229" i="7"/>
  <c r="F229" i="7"/>
  <c r="C229" i="7"/>
  <c r="O228" i="7"/>
  <c r="L228" i="7"/>
  <c r="I228" i="7"/>
  <c r="F228" i="7"/>
  <c r="C228" i="7"/>
  <c r="O227" i="7"/>
  <c r="L227" i="7"/>
  <c r="I227" i="7"/>
  <c r="F227" i="7"/>
  <c r="C227" i="7"/>
  <c r="O226" i="7"/>
  <c r="L226" i="7"/>
  <c r="I226" i="7"/>
  <c r="F226" i="7"/>
  <c r="C226" i="7"/>
  <c r="O225" i="7"/>
  <c r="L225" i="7"/>
  <c r="I225" i="7"/>
  <c r="F225" i="7"/>
  <c r="C225" i="7"/>
  <c r="O224" i="7"/>
  <c r="L224" i="7"/>
  <c r="I224" i="7"/>
  <c r="F224" i="7"/>
  <c r="C224" i="7"/>
  <c r="O223" i="7"/>
  <c r="L223" i="7"/>
  <c r="I223" i="7"/>
  <c r="F223" i="7"/>
  <c r="C223" i="7"/>
  <c r="O222" i="7"/>
  <c r="L222" i="7"/>
  <c r="I222" i="7"/>
  <c r="F222" i="7"/>
  <c r="C222" i="7"/>
  <c r="O221" i="7"/>
  <c r="L221" i="7"/>
  <c r="I221" i="7"/>
  <c r="F221" i="7"/>
  <c r="C221" i="7"/>
  <c r="O220" i="7"/>
  <c r="L220" i="7"/>
  <c r="I220" i="7"/>
  <c r="F220" i="7"/>
  <c r="C220" i="7"/>
  <c r="O219" i="7"/>
  <c r="L219" i="7"/>
  <c r="I219" i="7"/>
  <c r="F219" i="7"/>
  <c r="C219" i="7"/>
  <c r="O218" i="7"/>
  <c r="L218" i="7"/>
  <c r="I218" i="7"/>
  <c r="F218" i="7"/>
  <c r="C218" i="7"/>
  <c r="O217" i="7"/>
  <c r="L217" i="7"/>
  <c r="I217" i="7"/>
  <c r="F217" i="7"/>
  <c r="C217" i="7"/>
  <c r="O216" i="7"/>
  <c r="L216" i="7"/>
  <c r="I216" i="7"/>
  <c r="F216" i="7"/>
  <c r="C216" i="7"/>
  <c r="O215" i="7"/>
  <c r="L215" i="7"/>
  <c r="I215" i="7"/>
  <c r="F215" i="7"/>
  <c r="C215" i="7"/>
  <c r="O214" i="7"/>
  <c r="L214" i="7"/>
  <c r="I214" i="7"/>
  <c r="F214" i="7"/>
  <c r="C214" i="7"/>
  <c r="O213" i="7"/>
  <c r="L213" i="7"/>
  <c r="I213" i="7"/>
  <c r="F213" i="7"/>
  <c r="C213" i="7"/>
  <c r="O212" i="7"/>
  <c r="L212" i="7"/>
  <c r="I212" i="7"/>
  <c r="F212" i="7"/>
  <c r="C212" i="7"/>
  <c r="O211" i="7"/>
  <c r="L211" i="7"/>
  <c r="I211" i="7"/>
  <c r="F211" i="7"/>
  <c r="C211" i="7"/>
  <c r="O210" i="7"/>
  <c r="L210" i="7"/>
  <c r="I210" i="7"/>
  <c r="F210" i="7"/>
  <c r="C210" i="7"/>
  <c r="O209" i="7"/>
  <c r="L209" i="7"/>
  <c r="I209" i="7"/>
  <c r="F209" i="7"/>
  <c r="C209" i="7"/>
  <c r="O208" i="7"/>
  <c r="L208" i="7"/>
  <c r="I208" i="7"/>
  <c r="F208" i="7"/>
  <c r="C208" i="7"/>
  <c r="O207" i="7"/>
  <c r="L207" i="7"/>
  <c r="I207" i="7"/>
  <c r="F207" i="7"/>
  <c r="C207" i="7"/>
  <c r="O206" i="7"/>
  <c r="L206" i="7"/>
  <c r="I206" i="7"/>
  <c r="F206" i="7"/>
  <c r="C206" i="7"/>
  <c r="O205" i="7"/>
  <c r="L205" i="7"/>
  <c r="I205" i="7"/>
  <c r="F205" i="7"/>
  <c r="C205" i="7"/>
  <c r="O204" i="7"/>
  <c r="L204" i="7"/>
  <c r="I204" i="7"/>
  <c r="F204" i="7"/>
  <c r="C204" i="7"/>
  <c r="O203" i="7"/>
  <c r="L203" i="7"/>
  <c r="I203" i="7"/>
  <c r="F203" i="7"/>
  <c r="C203" i="7"/>
  <c r="O202" i="7"/>
  <c r="L202" i="7"/>
  <c r="I202" i="7"/>
  <c r="F202" i="7"/>
  <c r="C202" i="7"/>
  <c r="O201" i="7"/>
  <c r="L201" i="7"/>
  <c r="I201" i="7"/>
  <c r="F201" i="7"/>
  <c r="C201" i="7"/>
  <c r="O200" i="7"/>
  <c r="L200" i="7"/>
  <c r="I200" i="7"/>
  <c r="F200" i="7"/>
  <c r="C200" i="7"/>
  <c r="O199" i="7"/>
  <c r="L199" i="7"/>
  <c r="I199" i="7"/>
  <c r="F199" i="7"/>
  <c r="C199" i="7"/>
  <c r="O198" i="7"/>
  <c r="L198" i="7"/>
  <c r="I198" i="7"/>
  <c r="F198" i="7"/>
  <c r="C198" i="7"/>
  <c r="O197" i="7"/>
  <c r="L197" i="7"/>
  <c r="I197" i="7"/>
  <c r="F197" i="7"/>
  <c r="C197" i="7"/>
  <c r="O196" i="7"/>
  <c r="L196" i="7"/>
  <c r="I196" i="7"/>
  <c r="F196" i="7"/>
  <c r="C196" i="7"/>
  <c r="O195" i="7"/>
  <c r="L195" i="7"/>
  <c r="I195" i="7"/>
  <c r="F195" i="7"/>
  <c r="C195" i="7"/>
  <c r="O194" i="7"/>
  <c r="L194" i="7"/>
  <c r="I194" i="7"/>
  <c r="F194" i="7"/>
  <c r="C194" i="7"/>
  <c r="O193" i="7"/>
  <c r="L193" i="7"/>
  <c r="I193" i="7"/>
  <c r="F193" i="7"/>
  <c r="C193" i="7"/>
  <c r="O192" i="7"/>
  <c r="L192" i="7"/>
  <c r="I192" i="7"/>
  <c r="F192" i="7"/>
  <c r="C192" i="7"/>
  <c r="O191" i="7"/>
  <c r="L191" i="7"/>
  <c r="I191" i="7"/>
  <c r="F191" i="7"/>
  <c r="C191" i="7"/>
  <c r="O190" i="7"/>
  <c r="L190" i="7"/>
  <c r="I190" i="7"/>
  <c r="F190" i="7"/>
  <c r="C190" i="7"/>
  <c r="O189" i="7"/>
  <c r="L189" i="7"/>
  <c r="I189" i="7"/>
  <c r="F189" i="7"/>
  <c r="C189" i="7"/>
  <c r="O188" i="7"/>
  <c r="L188" i="7"/>
  <c r="I188" i="7"/>
  <c r="F188" i="7"/>
  <c r="C188" i="7"/>
  <c r="O187" i="7"/>
  <c r="L187" i="7"/>
  <c r="I187" i="7"/>
  <c r="F187" i="7"/>
  <c r="C187" i="7"/>
  <c r="O186" i="7"/>
  <c r="L186" i="7"/>
  <c r="I186" i="7"/>
  <c r="F186" i="7"/>
  <c r="C186" i="7"/>
  <c r="O185" i="7"/>
  <c r="L185" i="7"/>
  <c r="I185" i="7"/>
  <c r="F185" i="7"/>
  <c r="C185" i="7"/>
  <c r="O184" i="7"/>
  <c r="L184" i="7"/>
  <c r="I184" i="7"/>
  <c r="F184" i="7"/>
  <c r="C184" i="7"/>
  <c r="O183" i="7"/>
  <c r="L183" i="7"/>
  <c r="I183" i="7"/>
  <c r="F183" i="7"/>
  <c r="C183" i="7"/>
  <c r="O182" i="7"/>
  <c r="L182" i="7"/>
  <c r="I182" i="7"/>
  <c r="F182" i="7"/>
  <c r="C182" i="7"/>
  <c r="O181" i="7"/>
  <c r="L181" i="7"/>
  <c r="I181" i="7"/>
  <c r="F181" i="7"/>
  <c r="C181" i="7"/>
  <c r="O180" i="7"/>
  <c r="L180" i="7"/>
  <c r="I180" i="7"/>
  <c r="F180" i="7"/>
  <c r="C180" i="7"/>
  <c r="O179" i="7"/>
  <c r="L179" i="7"/>
  <c r="I179" i="7"/>
  <c r="F179" i="7"/>
  <c r="C179" i="7"/>
  <c r="O178" i="7"/>
  <c r="L178" i="7"/>
  <c r="I178" i="7"/>
  <c r="F178" i="7"/>
  <c r="C178" i="7"/>
  <c r="O177" i="7"/>
  <c r="L177" i="7"/>
  <c r="I177" i="7"/>
  <c r="F177" i="7"/>
  <c r="C177" i="7"/>
  <c r="O176" i="7"/>
  <c r="L176" i="7"/>
  <c r="I176" i="7"/>
  <c r="F176" i="7"/>
  <c r="C176" i="7"/>
  <c r="O175" i="7"/>
  <c r="L175" i="7"/>
  <c r="I175" i="7"/>
  <c r="F175" i="7"/>
  <c r="C175" i="7"/>
  <c r="O174" i="7"/>
  <c r="L174" i="7"/>
  <c r="I174" i="7"/>
  <c r="F174" i="7"/>
  <c r="C174" i="7"/>
  <c r="O173" i="7"/>
  <c r="L173" i="7"/>
  <c r="I173" i="7"/>
  <c r="F173" i="7"/>
  <c r="C173" i="7"/>
  <c r="O172" i="7"/>
  <c r="L172" i="7"/>
  <c r="I172" i="7"/>
  <c r="F172" i="7"/>
  <c r="C172" i="7"/>
  <c r="O171" i="7"/>
  <c r="L171" i="7"/>
  <c r="I171" i="7"/>
  <c r="F171" i="7"/>
  <c r="C171" i="7"/>
  <c r="O170" i="7"/>
  <c r="L170" i="7"/>
  <c r="I170" i="7"/>
  <c r="F170" i="7"/>
  <c r="C170" i="7"/>
  <c r="O169" i="7"/>
  <c r="L169" i="7"/>
  <c r="I169" i="7"/>
  <c r="F169" i="7"/>
  <c r="C169" i="7"/>
  <c r="O168" i="7"/>
  <c r="L168" i="7"/>
  <c r="I168" i="7"/>
  <c r="F168" i="7"/>
  <c r="C168" i="7"/>
  <c r="O167" i="7"/>
  <c r="L167" i="7"/>
  <c r="I167" i="7"/>
  <c r="F167" i="7"/>
  <c r="C167" i="7"/>
  <c r="O166" i="7"/>
  <c r="L166" i="7"/>
  <c r="I166" i="7"/>
  <c r="F166" i="7"/>
  <c r="C166" i="7"/>
  <c r="O165" i="7"/>
  <c r="L165" i="7"/>
  <c r="I165" i="7"/>
  <c r="F165" i="7"/>
  <c r="C165" i="7"/>
  <c r="O164" i="7"/>
  <c r="L164" i="7"/>
  <c r="I164" i="7"/>
  <c r="F164" i="7"/>
  <c r="C164" i="7"/>
  <c r="O163" i="7"/>
  <c r="L163" i="7"/>
  <c r="I163" i="7"/>
  <c r="F163" i="7"/>
  <c r="C163" i="7"/>
  <c r="O162" i="7"/>
  <c r="L162" i="7"/>
  <c r="I162" i="7"/>
  <c r="F162" i="7"/>
  <c r="C162" i="7"/>
  <c r="O161" i="7"/>
  <c r="L161" i="7"/>
  <c r="I161" i="7"/>
  <c r="F161" i="7"/>
  <c r="C161" i="7"/>
  <c r="O160" i="7"/>
  <c r="L160" i="7"/>
  <c r="I160" i="7"/>
  <c r="F160" i="7"/>
  <c r="C160" i="7"/>
  <c r="O159" i="7"/>
  <c r="L159" i="7"/>
  <c r="I159" i="7"/>
  <c r="F159" i="7"/>
  <c r="C159" i="7"/>
  <c r="O158" i="7"/>
  <c r="L158" i="7"/>
  <c r="I158" i="7"/>
  <c r="F158" i="7"/>
  <c r="C158" i="7"/>
  <c r="O157" i="7"/>
  <c r="L157" i="7"/>
  <c r="I157" i="7"/>
  <c r="F157" i="7"/>
  <c r="C157" i="7"/>
  <c r="O156" i="7"/>
  <c r="L156" i="7"/>
  <c r="I156" i="7"/>
  <c r="F156" i="7"/>
  <c r="C156" i="7"/>
  <c r="O155" i="7"/>
  <c r="L155" i="7"/>
  <c r="I155" i="7"/>
  <c r="F155" i="7"/>
  <c r="C155" i="7"/>
  <c r="O154" i="7"/>
  <c r="L154" i="7"/>
  <c r="I154" i="7"/>
  <c r="F154" i="7"/>
  <c r="C154" i="7"/>
  <c r="O153" i="7"/>
  <c r="L153" i="7"/>
  <c r="I153" i="7"/>
  <c r="F153" i="7"/>
  <c r="C153" i="7"/>
  <c r="O152" i="7"/>
  <c r="L152" i="7"/>
  <c r="I152" i="7"/>
  <c r="F152" i="7"/>
  <c r="C152" i="7"/>
  <c r="O151" i="7"/>
  <c r="L151" i="7"/>
  <c r="I151" i="7"/>
  <c r="F151" i="7"/>
  <c r="C151" i="7"/>
  <c r="O150" i="7"/>
  <c r="L150" i="7"/>
  <c r="I150" i="7"/>
  <c r="F150" i="7"/>
  <c r="C150" i="7"/>
  <c r="O149" i="7"/>
  <c r="L149" i="7"/>
  <c r="I149" i="7"/>
  <c r="F149" i="7"/>
  <c r="C149" i="7"/>
  <c r="O148" i="7"/>
  <c r="L148" i="7"/>
  <c r="I148" i="7"/>
  <c r="F148" i="7"/>
  <c r="C148" i="7"/>
  <c r="O147" i="7"/>
  <c r="L147" i="7"/>
  <c r="I147" i="7"/>
  <c r="F147" i="7"/>
  <c r="C147" i="7"/>
  <c r="O146" i="7"/>
  <c r="L146" i="7"/>
  <c r="I146" i="7"/>
  <c r="F146" i="7"/>
  <c r="C146" i="7"/>
  <c r="O145" i="7"/>
  <c r="L145" i="7"/>
  <c r="I145" i="7"/>
  <c r="F145" i="7"/>
  <c r="C145" i="7"/>
  <c r="O144" i="7"/>
  <c r="L144" i="7"/>
  <c r="I144" i="7"/>
  <c r="F144" i="7"/>
  <c r="C144" i="7"/>
  <c r="O143" i="7"/>
  <c r="L143" i="7"/>
  <c r="I143" i="7"/>
  <c r="F143" i="7"/>
  <c r="C143" i="7"/>
  <c r="O142" i="7"/>
  <c r="L142" i="7"/>
  <c r="I142" i="7"/>
  <c r="F142" i="7"/>
  <c r="C142" i="7"/>
  <c r="O141" i="7"/>
  <c r="L141" i="7"/>
  <c r="I141" i="7"/>
  <c r="F141" i="7"/>
  <c r="C141" i="7"/>
  <c r="O140" i="7"/>
  <c r="L140" i="7"/>
  <c r="I140" i="7"/>
  <c r="F140" i="7"/>
  <c r="C140" i="7"/>
  <c r="O139" i="7"/>
  <c r="L139" i="7"/>
  <c r="I139" i="7"/>
  <c r="F139" i="7"/>
  <c r="C139" i="7"/>
  <c r="O138" i="7"/>
  <c r="L138" i="7"/>
  <c r="I138" i="7"/>
  <c r="F138" i="7"/>
  <c r="C138" i="7"/>
  <c r="O137" i="7"/>
  <c r="L137" i="7"/>
  <c r="I137" i="7"/>
  <c r="F137" i="7"/>
  <c r="C137" i="7"/>
  <c r="O136" i="7"/>
  <c r="L136" i="7"/>
  <c r="I136" i="7"/>
  <c r="F136" i="7"/>
  <c r="C136" i="7"/>
  <c r="O135" i="7"/>
  <c r="L135" i="7"/>
  <c r="I135" i="7"/>
  <c r="F135" i="7"/>
  <c r="C135" i="7"/>
  <c r="O134" i="7"/>
  <c r="L134" i="7"/>
  <c r="I134" i="7"/>
  <c r="F134" i="7"/>
  <c r="C134" i="7"/>
  <c r="O133" i="7"/>
  <c r="L133" i="7"/>
  <c r="I133" i="7"/>
  <c r="F133" i="7"/>
  <c r="C133" i="7"/>
  <c r="O132" i="7"/>
  <c r="L132" i="7"/>
  <c r="I132" i="7"/>
  <c r="F132" i="7"/>
  <c r="C132" i="7"/>
  <c r="O131" i="7"/>
  <c r="L131" i="7"/>
  <c r="I131" i="7"/>
  <c r="F131" i="7"/>
  <c r="C131" i="7"/>
  <c r="O130" i="7"/>
  <c r="L130" i="7"/>
  <c r="I130" i="7"/>
  <c r="F130" i="7"/>
  <c r="C130" i="7"/>
  <c r="O129" i="7"/>
  <c r="L129" i="7"/>
  <c r="I129" i="7"/>
  <c r="F129" i="7"/>
  <c r="C129" i="7"/>
  <c r="O128" i="7"/>
  <c r="L128" i="7"/>
  <c r="I128" i="7"/>
  <c r="F128" i="7"/>
  <c r="C128" i="7"/>
  <c r="O127" i="7"/>
  <c r="L127" i="7"/>
  <c r="I127" i="7"/>
  <c r="F127" i="7"/>
  <c r="C127" i="7"/>
  <c r="O126" i="7"/>
  <c r="L126" i="7"/>
  <c r="I126" i="7"/>
  <c r="F126" i="7"/>
  <c r="C126" i="7"/>
  <c r="O125" i="7"/>
  <c r="L125" i="7"/>
  <c r="I125" i="7"/>
  <c r="F125" i="7"/>
  <c r="C125" i="7"/>
  <c r="O124" i="7"/>
  <c r="L124" i="7"/>
  <c r="I124" i="7"/>
  <c r="F124" i="7"/>
  <c r="C124" i="7"/>
  <c r="O123" i="7"/>
  <c r="L123" i="7"/>
  <c r="I123" i="7"/>
  <c r="F123" i="7"/>
  <c r="C123" i="7"/>
  <c r="O122" i="7"/>
  <c r="L122" i="7"/>
  <c r="I122" i="7"/>
  <c r="F122" i="7"/>
  <c r="C122" i="7"/>
  <c r="O121" i="7"/>
  <c r="L121" i="7"/>
  <c r="I121" i="7"/>
  <c r="F121" i="7"/>
  <c r="C121" i="7"/>
  <c r="O120" i="7"/>
  <c r="L120" i="7"/>
  <c r="I120" i="7"/>
  <c r="F120" i="7"/>
  <c r="C120" i="7"/>
  <c r="O119" i="7"/>
  <c r="L119" i="7"/>
  <c r="I119" i="7"/>
  <c r="F119" i="7"/>
  <c r="C119" i="7"/>
  <c r="O118" i="7"/>
  <c r="L118" i="7"/>
  <c r="I118" i="7"/>
  <c r="F118" i="7"/>
  <c r="C118" i="7"/>
  <c r="O117" i="7"/>
  <c r="L117" i="7"/>
  <c r="I117" i="7"/>
  <c r="F117" i="7"/>
  <c r="C117" i="7"/>
  <c r="O116" i="7"/>
  <c r="L116" i="7"/>
  <c r="I116" i="7"/>
  <c r="F116" i="7"/>
  <c r="C116" i="7"/>
  <c r="O115" i="7"/>
  <c r="L115" i="7"/>
  <c r="I115" i="7"/>
  <c r="F115" i="7"/>
  <c r="C115" i="7"/>
  <c r="O114" i="7"/>
  <c r="L114" i="7"/>
  <c r="I114" i="7"/>
  <c r="F114" i="7"/>
  <c r="C114" i="7"/>
  <c r="O113" i="7"/>
  <c r="L113" i="7"/>
  <c r="I113" i="7"/>
  <c r="F113" i="7"/>
  <c r="C113" i="7"/>
  <c r="O112" i="7"/>
  <c r="L112" i="7"/>
  <c r="I112" i="7"/>
  <c r="F112" i="7"/>
  <c r="C112" i="7"/>
  <c r="O111" i="7"/>
  <c r="L111" i="7"/>
  <c r="I111" i="7"/>
  <c r="F111" i="7"/>
  <c r="C111" i="7"/>
  <c r="O110" i="7"/>
  <c r="L110" i="7"/>
  <c r="I110" i="7"/>
  <c r="F110" i="7"/>
  <c r="C110" i="7"/>
  <c r="O109" i="7"/>
  <c r="L109" i="7"/>
  <c r="I109" i="7"/>
  <c r="F109" i="7"/>
  <c r="C109" i="7"/>
  <c r="O108" i="7"/>
  <c r="L108" i="7"/>
  <c r="I108" i="7"/>
  <c r="F108" i="7"/>
  <c r="C108" i="7"/>
  <c r="O107" i="7"/>
  <c r="L107" i="7"/>
  <c r="I107" i="7"/>
  <c r="F107" i="7"/>
  <c r="C107" i="7"/>
  <c r="O106" i="7"/>
  <c r="L106" i="7"/>
  <c r="I106" i="7"/>
  <c r="F106" i="7"/>
  <c r="C106" i="7"/>
  <c r="O105" i="7"/>
  <c r="L105" i="7"/>
  <c r="I105" i="7"/>
  <c r="F105" i="7"/>
  <c r="C105" i="7"/>
  <c r="O104" i="7"/>
  <c r="L104" i="7"/>
  <c r="I104" i="7"/>
  <c r="F104" i="7"/>
  <c r="C104" i="7"/>
  <c r="O103" i="7"/>
  <c r="L103" i="7"/>
  <c r="I103" i="7"/>
  <c r="F103" i="7"/>
  <c r="C103" i="7"/>
  <c r="O102" i="7"/>
  <c r="L102" i="7"/>
  <c r="I102" i="7"/>
  <c r="F102" i="7"/>
  <c r="C102" i="7"/>
  <c r="O101" i="7"/>
  <c r="L101" i="7"/>
  <c r="I101" i="7"/>
  <c r="F101" i="7"/>
  <c r="C101" i="7"/>
  <c r="O100" i="7"/>
  <c r="L100" i="7"/>
  <c r="I100" i="7"/>
  <c r="F100" i="7"/>
  <c r="C100" i="7"/>
  <c r="O99" i="7"/>
  <c r="L99" i="7"/>
  <c r="I99" i="7"/>
  <c r="F99" i="7"/>
  <c r="C99" i="7"/>
  <c r="O98" i="7"/>
  <c r="L98" i="7"/>
  <c r="I98" i="7"/>
  <c r="F98" i="7"/>
  <c r="C98" i="7"/>
  <c r="O97" i="7"/>
  <c r="L97" i="7"/>
  <c r="I97" i="7"/>
  <c r="F97" i="7"/>
  <c r="C97" i="7"/>
  <c r="O96" i="7"/>
  <c r="L96" i="7"/>
  <c r="I96" i="7"/>
  <c r="F96" i="7"/>
  <c r="C96" i="7"/>
  <c r="O95" i="7"/>
  <c r="L95" i="7"/>
  <c r="I95" i="7"/>
  <c r="F95" i="7"/>
  <c r="C95" i="7"/>
  <c r="O94" i="7"/>
  <c r="L94" i="7"/>
  <c r="I94" i="7"/>
  <c r="F94" i="7"/>
  <c r="C94" i="7"/>
  <c r="O93" i="7"/>
  <c r="L93" i="7"/>
  <c r="I93" i="7"/>
  <c r="F93" i="7"/>
  <c r="C93" i="7"/>
  <c r="O92" i="7"/>
  <c r="L92" i="7"/>
  <c r="I92" i="7"/>
  <c r="F92" i="7"/>
  <c r="C92" i="7"/>
  <c r="O91" i="7"/>
  <c r="L91" i="7"/>
  <c r="I91" i="7"/>
  <c r="F91" i="7"/>
  <c r="C91" i="7"/>
  <c r="O90" i="7"/>
  <c r="L90" i="7"/>
  <c r="I90" i="7"/>
  <c r="F90" i="7"/>
  <c r="C90" i="7"/>
  <c r="O89" i="7"/>
  <c r="L89" i="7"/>
  <c r="I89" i="7"/>
  <c r="F89" i="7"/>
  <c r="C89" i="7"/>
  <c r="O88" i="7"/>
  <c r="L88" i="7"/>
  <c r="I88" i="7"/>
  <c r="F88" i="7"/>
  <c r="C88" i="7"/>
  <c r="O87" i="7"/>
  <c r="L87" i="7"/>
  <c r="I87" i="7"/>
  <c r="F87" i="7"/>
  <c r="C87" i="7"/>
  <c r="O86" i="7"/>
  <c r="L86" i="7"/>
  <c r="I86" i="7"/>
  <c r="F86" i="7"/>
  <c r="C86" i="7"/>
  <c r="O85" i="7"/>
  <c r="L85" i="7"/>
  <c r="I85" i="7"/>
  <c r="F85" i="7"/>
  <c r="C85" i="7"/>
  <c r="O84" i="7"/>
  <c r="L84" i="7"/>
  <c r="I84" i="7"/>
  <c r="F84" i="7"/>
  <c r="C84" i="7"/>
  <c r="O83" i="7"/>
  <c r="L83" i="7"/>
  <c r="I83" i="7"/>
  <c r="F83" i="7"/>
  <c r="C83" i="7"/>
  <c r="O82" i="7"/>
  <c r="L82" i="7"/>
  <c r="I82" i="7"/>
  <c r="F82" i="7"/>
  <c r="C82" i="7"/>
  <c r="O81" i="7"/>
  <c r="L81" i="7"/>
  <c r="I81" i="7"/>
  <c r="F81" i="7"/>
  <c r="C81" i="7"/>
  <c r="O80" i="7"/>
  <c r="L80" i="7"/>
  <c r="I80" i="7"/>
  <c r="F80" i="7"/>
  <c r="C80" i="7"/>
  <c r="O79" i="7"/>
  <c r="L79" i="7"/>
  <c r="I79" i="7"/>
  <c r="F79" i="7"/>
  <c r="C79" i="7"/>
  <c r="O78" i="7"/>
  <c r="L78" i="7"/>
  <c r="I78" i="7"/>
  <c r="F78" i="7"/>
  <c r="C78" i="7"/>
  <c r="O77" i="7"/>
  <c r="L77" i="7"/>
  <c r="I77" i="7"/>
  <c r="F77" i="7"/>
  <c r="C77" i="7"/>
  <c r="O76" i="7"/>
  <c r="L76" i="7"/>
  <c r="I76" i="7"/>
  <c r="F76" i="7"/>
  <c r="C76" i="7"/>
  <c r="O75" i="7"/>
  <c r="L75" i="7"/>
  <c r="I75" i="7"/>
  <c r="F75" i="7"/>
  <c r="C75" i="7"/>
  <c r="O74" i="7"/>
  <c r="L74" i="7"/>
  <c r="I74" i="7"/>
  <c r="F74" i="7"/>
  <c r="C74" i="7"/>
  <c r="O73" i="7"/>
  <c r="L73" i="7"/>
  <c r="I73" i="7"/>
  <c r="F73" i="7"/>
  <c r="C73" i="7"/>
  <c r="O72" i="7"/>
  <c r="L72" i="7"/>
  <c r="I72" i="7"/>
  <c r="F72" i="7"/>
  <c r="C72" i="7"/>
  <c r="O71" i="7"/>
  <c r="L71" i="7"/>
  <c r="I71" i="7"/>
  <c r="F71" i="7"/>
  <c r="C71" i="7"/>
  <c r="O70" i="7"/>
  <c r="L70" i="7"/>
  <c r="I70" i="7"/>
  <c r="F70" i="7"/>
  <c r="C70" i="7"/>
  <c r="O69" i="7"/>
  <c r="L69" i="7"/>
  <c r="I69" i="7"/>
  <c r="F69" i="7"/>
  <c r="C69" i="7"/>
  <c r="O68" i="7"/>
  <c r="L68" i="7"/>
  <c r="I68" i="7"/>
  <c r="F68" i="7"/>
  <c r="C68" i="7"/>
  <c r="O67" i="7"/>
  <c r="L67" i="7"/>
  <c r="I67" i="7"/>
  <c r="F67" i="7"/>
  <c r="C67" i="7"/>
  <c r="O66" i="7"/>
  <c r="L66" i="7"/>
  <c r="I66" i="7"/>
  <c r="F66" i="7"/>
  <c r="C66" i="7"/>
  <c r="O65" i="7"/>
  <c r="L65" i="7"/>
  <c r="I65" i="7"/>
  <c r="F65" i="7"/>
  <c r="C65" i="7"/>
  <c r="O64" i="7"/>
  <c r="L64" i="7"/>
  <c r="I64" i="7"/>
  <c r="F64" i="7"/>
  <c r="C64" i="7"/>
  <c r="O63" i="7"/>
  <c r="L63" i="7"/>
  <c r="I63" i="7"/>
  <c r="F63" i="7"/>
  <c r="C63" i="7"/>
  <c r="O62" i="7"/>
  <c r="L62" i="7"/>
  <c r="I62" i="7"/>
  <c r="F62" i="7"/>
  <c r="C62" i="7"/>
  <c r="O61" i="7"/>
  <c r="L61" i="7"/>
  <c r="I61" i="7"/>
  <c r="F61" i="7"/>
  <c r="C61" i="7"/>
  <c r="O60" i="7"/>
  <c r="L60" i="7"/>
  <c r="I60" i="7"/>
  <c r="F60" i="7"/>
  <c r="C60" i="7"/>
  <c r="O59" i="7"/>
  <c r="L59" i="7"/>
  <c r="I59" i="7"/>
  <c r="F59" i="7"/>
  <c r="C59" i="7"/>
  <c r="O58" i="7"/>
  <c r="L58" i="7"/>
  <c r="I58" i="7"/>
  <c r="F58" i="7"/>
  <c r="C58" i="7"/>
  <c r="O57" i="7"/>
  <c r="L57" i="7"/>
  <c r="I57" i="7"/>
  <c r="F57" i="7"/>
  <c r="C57" i="7"/>
  <c r="O56" i="7"/>
  <c r="L56" i="7"/>
  <c r="I56" i="7"/>
  <c r="F56" i="7"/>
  <c r="C56" i="7"/>
  <c r="O55" i="7"/>
  <c r="L55" i="7"/>
  <c r="I55" i="7"/>
  <c r="F55" i="7"/>
  <c r="C55" i="7"/>
  <c r="O54" i="7"/>
  <c r="L54" i="7"/>
  <c r="I54" i="7"/>
  <c r="F54" i="7"/>
  <c r="C54" i="7"/>
  <c r="O53" i="7"/>
  <c r="L53" i="7"/>
  <c r="I53" i="7"/>
  <c r="F53" i="7"/>
  <c r="C53" i="7"/>
  <c r="O52" i="7"/>
  <c r="L52" i="7"/>
  <c r="I52" i="7"/>
  <c r="F52" i="7"/>
  <c r="C52" i="7"/>
  <c r="O51" i="7"/>
  <c r="L51" i="7"/>
  <c r="I51" i="7"/>
  <c r="F51" i="7"/>
  <c r="C51" i="7"/>
  <c r="O50" i="7"/>
  <c r="L50" i="7"/>
  <c r="I50" i="7"/>
  <c r="F50" i="7"/>
  <c r="C50" i="7"/>
  <c r="O49" i="7"/>
  <c r="L49" i="7"/>
  <c r="I49" i="7"/>
  <c r="F49" i="7"/>
  <c r="C49" i="7"/>
  <c r="O48" i="7"/>
  <c r="L48" i="7"/>
  <c r="I48" i="7"/>
  <c r="F48" i="7"/>
  <c r="C48" i="7"/>
  <c r="O47" i="7"/>
  <c r="L47" i="7"/>
  <c r="I47" i="7"/>
  <c r="F47" i="7"/>
  <c r="C47" i="7"/>
  <c r="O46" i="7"/>
  <c r="L46" i="7"/>
  <c r="I46" i="7"/>
  <c r="F46" i="7"/>
  <c r="C46" i="7"/>
  <c r="O45" i="7"/>
  <c r="L45" i="7"/>
  <c r="I45" i="7"/>
  <c r="F45" i="7"/>
  <c r="C45" i="7"/>
  <c r="O44" i="7"/>
  <c r="L44" i="7"/>
  <c r="I44" i="7"/>
  <c r="F44" i="7"/>
  <c r="C44" i="7"/>
  <c r="O43" i="7"/>
  <c r="L43" i="7"/>
  <c r="I43" i="7"/>
  <c r="F43" i="7"/>
  <c r="C43" i="7"/>
  <c r="O42" i="7"/>
  <c r="L42" i="7"/>
  <c r="I42" i="7"/>
  <c r="F42" i="7"/>
  <c r="C42" i="7"/>
  <c r="O41" i="7"/>
  <c r="L41" i="7"/>
  <c r="I41" i="7"/>
  <c r="F41" i="7"/>
  <c r="C41" i="7"/>
  <c r="O40" i="7"/>
  <c r="L40" i="7"/>
  <c r="I40" i="7"/>
  <c r="F40" i="7"/>
  <c r="C40" i="7"/>
  <c r="B12" i="7"/>
  <c r="B6" i="9"/>
  <c r="B15" i="9"/>
  <c r="B13" i="9"/>
  <c r="B23" i="8"/>
  <c r="E5" i="8"/>
  <c r="F5" i="8"/>
  <c r="G5" i="8"/>
  <c r="H5" i="8"/>
  <c r="D5" i="8"/>
  <c r="E4" i="8"/>
  <c r="F4" i="8"/>
  <c r="G4" i="8"/>
  <c r="H4" i="8"/>
  <c r="D4" i="8"/>
  <c r="C39" i="6"/>
  <c r="C8" i="4"/>
  <c r="D24" i="6"/>
  <c r="E24" i="6"/>
  <c r="F24" i="6"/>
  <c r="G24" i="6"/>
  <c r="C24" i="6"/>
  <c r="D12" i="6"/>
  <c r="E12" i="6"/>
  <c r="F12" i="6"/>
  <c r="G12" i="6"/>
  <c r="G27" i="6" s="1"/>
  <c r="D11" i="6"/>
  <c r="E11" i="6"/>
  <c r="F11" i="6"/>
  <c r="G11" i="6"/>
  <c r="E26" i="6"/>
  <c r="G26" i="6"/>
  <c r="C12" i="6"/>
  <c r="C11" i="6"/>
  <c r="C26" i="6"/>
  <c r="D27" i="6"/>
  <c r="F26" i="6"/>
  <c r="F27" i="6"/>
  <c r="E27" i="6"/>
  <c r="C27" i="6"/>
  <c r="D26" i="6"/>
  <c r="G15" i="4"/>
  <c r="D11" i="4"/>
  <c r="E11" i="4"/>
  <c r="F11" i="4"/>
  <c r="G11" i="4"/>
  <c r="C18" i="4"/>
  <c r="C11" i="4"/>
  <c r="I36" i="5"/>
  <c r="J36" i="5" s="1"/>
  <c r="K36" i="5" s="1"/>
  <c r="L36" i="5" s="1"/>
  <c r="I35" i="5"/>
  <c r="J35" i="5" s="1"/>
  <c r="I22" i="5"/>
  <c r="J22" i="5" s="1"/>
  <c r="K22" i="5" s="1"/>
  <c r="L22" i="5" s="1"/>
  <c r="I21" i="5"/>
  <c r="J21" i="5" s="1"/>
  <c r="K21" i="5" s="1"/>
  <c r="L21" i="5" s="1"/>
  <c r="H19" i="5"/>
  <c r="I19" i="5" s="1"/>
  <c r="J19" i="5" s="1"/>
  <c r="K19" i="5" s="1"/>
  <c r="L19" i="5" s="1"/>
  <c r="H18" i="5"/>
  <c r="I18" i="5" s="1"/>
  <c r="J18" i="5" s="1"/>
  <c r="K18" i="5" s="1"/>
  <c r="L18" i="5" s="1"/>
  <c r="H16" i="5"/>
  <c r="I16" i="5" s="1"/>
  <c r="J16" i="5" s="1"/>
  <c r="K16" i="5" s="1"/>
  <c r="L16" i="5" s="1"/>
  <c r="H10" i="5"/>
  <c r="I10" i="5" s="1"/>
  <c r="J10" i="5" s="1"/>
  <c r="K10" i="5" s="1"/>
  <c r="L10" i="5" s="1"/>
  <c r="I7" i="5"/>
  <c r="J7" i="5" s="1"/>
  <c r="K7" i="5" s="1"/>
  <c r="L7" i="5" s="1"/>
  <c r="H7" i="5"/>
  <c r="K35" i="5" l="1"/>
  <c r="E27" i="7"/>
  <c r="B22" i="7"/>
  <c r="F22" i="7" s="1"/>
  <c r="B35" i="7"/>
  <c r="B23" i="9"/>
  <c r="B13" i="7"/>
  <c r="B7" i="7" s="1"/>
  <c r="B26" i="7"/>
  <c r="F26" i="7" s="1"/>
  <c r="B27" i="7"/>
  <c r="F27" i="7" s="1"/>
  <c r="B28" i="7"/>
  <c r="F28" i="7" s="1"/>
  <c r="E26" i="7"/>
  <c r="E22" i="7"/>
  <c r="E31" i="7" s="1"/>
  <c r="L35" i="5" l="1"/>
  <c r="F29" i="7"/>
  <c r="B31" i="7"/>
  <c r="F31" i="7" s="1"/>
  <c r="B15" i="7" s="1"/>
  <c r="B16" i="7" s="1"/>
  <c r="B18" i="8" s="1"/>
  <c r="E36" i="8" s="1"/>
  <c r="I36" i="8" l="1"/>
  <c r="F36" i="8"/>
  <c r="H36" i="8"/>
  <c r="G36" i="8"/>
  <c r="G51" i="5" l="1"/>
  <c r="G52" i="5" s="1"/>
  <c r="G53" i="5" s="1"/>
  <c r="H53" i="5" s="1"/>
  <c r="G56" i="5"/>
  <c r="G57" i="5"/>
  <c r="H57" i="5" s="1"/>
  <c r="G60" i="5"/>
  <c r="G61" i="5"/>
  <c r="H61" i="5" s="1"/>
  <c r="G63" i="5"/>
  <c r="G64" i="5" s="1"/>
  <c r="G66" i="5"/>
  <c r="H66" i="5" s="1"/>
  <c r="G67" i="5"/>
  <c r="H67" i="5" s="1"/>
  <c r="I67" i="5" s="1"/>
  <c r="J67" i="5" s="1"/>
  <c r="K67" i="5" s="1"/>
  <c r="L67" i="5" s="1"/>
  <c r="D48" i="5"/>
  <c r="D49" i="5" s="1"/>
  <c r="E48" i="5"/>
  <c r="E49" i="5" s="1"/>
  <c r="F48" i="5"/>
  <c r="F49" i="5" s="1"/>
  <c r="G48" i="5"/>
  <c r="G49" i="5" s="1"/>
  <c r="D47" i="5"/>
  <c r="E47" i="5"/>
  <c r="F47" i="5"/>
  <c r="G47" i="5"/>
  <c r="G40" i="5"/>
  <c r="G41" i="5" s="1"/>
  <c r="G33" i="5"/>
  <c r="G14" i="5"/>
  <c r="G25" i="5" s="1"/>
  <c r="G8" i="5"/>
  <c r="G56" i="2"/>
  <c r="H24" i="3"/>
  <c r="I24" i="3"/>
  <c r="J24" i="3"/>
  <c r="K24" i="3"/>
  <c r="L24" i="3"/>
  <c r="H19" i="3"/>
  <c r="I19" i="3" s="1"/>
  <c r="J19" i="3" s="1"/>
  <c r="K19" i="3" s="1"/>
  <c r="L19" i="3" s="1"/>
  <c r="G19" i="3"/>
  <c r="H26" i="3"/>
  <c r="I26" i="3" s="1"/>
  <c r="J26" i="3" s="1"/>
  <c r="K26" i="3" s="1"/>
  <c r="L26" i="3" s="1"/>
  <c r="G26" i="3"/>
  <c r="G24" i="3"/>
  <c r="L8" i="3"/>
  <c r="L3" i="3"/>
  <c r="K3" i="3"/>
  <c r="D29" i="3"/>
  <c r="E29" i="3"/>
  <c r="F29" i="3"/>
  <c r="G29" i="3"/>
  <c r="D18" i="3"/>
  <c r="D20" i="3" s="1"/>
  <c r="D27" i="3" s="1"/>
  <c r="D25" i="3" s="1"/>
  <c r="E18" i="3"/>
  <c r="E20" i="3" s="1"/>
  <c r="E27" i="3" s="1"/>
  <c r="E25" i="3" s="1"/>
  <c r="F18" i="3"/>
  <c r="F20" i="3" s="1"/>
  <c r="F27" i="3" s="1"/>
  <c r="F25" i="3" s="1"/>
  <c r="D8" i="3"/>
  <c r="E8" i="3"/>
  <c r="F8" i="3"/>
  <c r="D13" i="3"/>
  <c r="E13" i="3"/>
  <c r="F13" i="3"/>
  <c r="G13" i="3"/>
  <c r="G3" i="3"/>
  <c r="I46" i="2"/>
  <c r="J46" i="2"/>
  <c r="K46" i="2"/>
  <c r="L46" i="2"/>
  <c r="H46" i="2"/>
  <c r="H55" i="2"/>
  <c r="I55" i="2" s="1"/>
  <c r="J55" i="2" s="1"/>
  <c r="K55" i="2" s="1"/>
  <c r="L55" i="2" s="1"/>
  <c r="G38" i="2"/>
  <c r="I32" i="2"/>
  <c r="J32" i="2"/>
  <c r="K32" i="2" s="1"/>
  <c r="H32" i="2"/>
  <c r="I29" i="2"/>
  <c r="J29" i="2"/>
  <c r="K29" i="2"/>
  <c r="L29" i="2"/>
  <c r="H53" i="2"/>
  <c r="I53" i="2" s="1"/>
  <c r="J53" i="2" s="1"/>
  <c r="K53" i="2" s="1"/>
  <c r="L53" i="2" s="1"/>
  <c r="H29" i="2"/>
  <c r="I11" i="2"/>
  <c r="J11" i="2"/>
  <c r="K11" i="2"/>
  <c r="L11" i="2"/>
  <c r="H11" i="2"/>
  <c r="I21" i="2"/>
  <c r="J21" i="2"/>
  <c r="K21" i="2"/>
  <c r="L21" i="2"/>
  <c r="H21" i="2"/>
  <c r="I16" i="2"/>
  <c r="J16" i="2"/>
  <c r="K16" i="2"/>
  <c r="L16" i="2"/>
  <c r="H16" i="2"/>
  <c r="I12" i="2"/>
  <c r="J12" i="2"/>
  <c r="K12" i="2"/>
  <c r="L12" i="2"/>
  <c r="H12" i="2"/>
  <c r="I7" i="2"/>
  <c r="J7" i="2"/>
  <c r="K7" i="2"/>
  <c r="L7" i="2"/>
  <c r="H50" i="2"/>
  <c r="I50" i="2" s="1"/>
  <c r="J50" i="2" s="1"/>
  <c r="K50" i="2" s="1"/>
  <c r="L50" i="2" s="1"/>
  <c r="H51" i="2"/>
  <c r="I51" i="2"/>
  <c r="J51" i="2"/>
  <c r="K51" i="2" s="1"/>
  <c r="L51" i="2" s="1"/>
  <c r="H52" i="2"/>
  <c r="I52" i="2"/>
  <c r="J52" i="2"/>
  <c r="K52" i="2"/>
  <c r="L52" i="2"/>
  <c r="J49" i="2"/>
  <c r="K49" i="2" s="1"/>
  <c r="L49" i="2" s="1"/>
  <c r="I49" i="2"/>
  <c r="H49" i="2"/>
  <c r="F56" i="2"/>
  <c r="G60" i="2"/>
  <c r="H60" i="2" s="1"/>
  <c r="I60" i="2" s="1"/>
  <c r="J60" i="2" s="1"/>
  <c r="K60" i="2" s="1"/>
  <c r="L60" i="2" s="1"/>
  <c r="D58" i="2"/>
  <c r="E58" i="2"/>
  <c r="F58" i="2"/>
  <c r="D59" i="2"/>
  <c r="E59" i="2"/>
  <c r="F59" i="2"/>
  <c r="G59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G58" i="2"/>
  <c r="D50" i="2"/>
  <c r="E50" i="2"/>
  <c r="F50" i="2"/>
  <c r="G50" i="2"/>
  <c r="D51" i="2"/>
  <c r="E51" i="2"/>
  <c r="F51" i="2"/>
  <c r="G51" i="2"/>
  <c r="D49" i="2"/>
  <c r="E49" i="2"/>
  <c r="F49" i="2"/>
  <c r="G49" i="2"/>
  <c r="G46" i="2"/>
  <c r="F46" i="2"/>
  <c r="G42" i="2"/>
  <c r="F42" i="2"/>
  <c r="G40" i="2"/>
  <c r="F38" i="2"/>
  <c r="G37" i="2"/>
  <c r="G36" i="2"/>
  <c r="F34" i="2"/>
  <c r="G34" i="2"/>
  <c r="G32" i="2"/>
  <c r="G31" i="2"/>
  <c r="G29" i="2"/>
  <c r="G26" i="2"/>
  <c r="F21" i="2"/>
  <c r="G21" i="2"/>
  <c r="G16" i="2"/>
  <c r="G11" i="2"/>
  <c r="C12" i="2"/>
  <c r="G12" i="2"/>
  <c r="F12" i="2"/>
  <c r="F16" i="2"/>
  <c r="F11" i="2"/>
  <c r="L5" i="2"/>
  <c r="H30" i="1"/>
  <c r="H39" i="1"/>
  <c r="H41" i="1" s="1"/>
  <c r="I35" i="1"/>
  <c r="J35" i="1" s="1"/>
  <c r="K35" i="1" s="1"/>
  <c r="L35" i="1" s="1"/>
  <c r="H35" i="1"/>
  <c r="I30" i="1"/>
  <c r="J30" i="1" s="1"/>
  <c r="K30" i="1" s="1"/>
  <c r="L30" i="1" s="1"/>
  <c r="L39" i="1" s="1"/>
  <c r="I25" i="1"/>
  <c r="J25" i="1" s="1"/>
  <c r="K25" i="1" s="1"/>
  <c r="L25" i="1" s="1"/>
  <c r="H25" i="1"/>
  <c r="H20" i="1"/>
  <c r="I20" i="1" s="1"/>
  <c r="J20" i="1" s="1"/>
  <c r="K20" i="1" s="1"/>
  <c r="L20" i="1" s="1"/>
  <c r="I15" i="1"/>
  <c r="J15" i="1" s="1"/>
  <c r="K15" i="1" s="1"/>
  <c r="L15" i="1" s="1"/>
  <c r="H15" i="1"/>
  <c r="H10" i="1"/>
  <c r="I10" i="1" s="1"/>
  <c r="J10" i="1" s="1"/>
  <c r="K10" i="1" s="1"/>
  <c r="L10" i="1" s="1"/>
  <c r="I5" i="1"/>
  <c r="J5" i="1" s="1"/>
  <c r="K5" i="1" s="1"/>
  <c r="L5" i="1" s="1"/>
  <c r="H5" i="1"/>
  <c r="H38" i="1"/>
  <c r="I8" i="1"/>
  <c r="J8" i="1"/>
  <c r="K8" i="1" s="1"/>
  <c r="H8" i="1"/>
  <c r="H23" i="1"/>
  <c r="I23" i="1"/>
  <c r="J23" i="1" s="1"/>
  <c r="K23" i="1" s="1"/>
  <c r="I18" i="1"/>
  <c r="H18" i="1"/>
  <c r="J18" i="1"/>
  <c r="K18" i="1" s="1"/>
  <c r="I13" i="1"/>
  <c r="J13" i="1" s="1"/>
  <c r="K13" i="1" s="1"/>
  <c r="H13" i="1"/>
  <c r="G42" i="1"/>
  <c r="F8" i="1"/>
  <c r="G46" i="1"/>
  <c r="G26" i="1"/>
  <c r="G28" i="1" s="1"/>
  <c r="G23" i="1"/>
  <c r="G21" i="1"/>
  <c r="G16" i="1"/>
  <c r="G18" i="1" s="1"/>
  <c r="G11" i="1"/>
  <c r="G13" i="1" s="1"/>
  <c r="G8" i="1"/>
  <c r="G6" i="1"/>
  <c r="G31" i="1"/>
  <c r="G33" i="1" s="1"/>
  <c r="G36" i="1"/>
  <c r="G38" i="1" s="1"/>
  <c r="G45" i="1"/>
  <c r="G39" i="1"/>
  <c r="F45" i="1"/>
  <c r="F42" i="1"/>
  <c r="D60" i="2"/>
  <c r="E60" i="2"/>
  <c r="F60" i="2"/>
  <c r="F67" i="5"/>
  <c r="E67" i="5"/>
  <c r="D67" i="5"/>
  <c r="C67" i="5"/>
  <c r="F64" i="5"/>
  <c r="E64" i="5"/>
  <c r="D64" i="5"/>
  <c r="C61" i="5"/>
  <c r="C59" i="2"/>
  <c r="C36" i="2"/>
  <c r="C37" i="2" s="1"/>
  <c r="D36" i="2"/>
  <c r="C31" i="2"/>
  <c r="C32" i="2" s="1"/>
  <c r="D31" i="2"/>
  <c r="D32" i="2"/>
  <c r="D37" i="2"/>
  <c r="E36" i="2"/>
  <c r="E37" i="2" s="1"/>
  <c r="E31" i="2"/>
  <c r="E32" i="2" s="1"/>
  <c r="E29" i="2"/>
  <c r="D29" i="2"/>
  <c r="C29" i="2"/>
  <c r="E26" i="2"/>
  <c r="D26" i="2"/>
  <c r="C26" i="2"/>
  <c r="E19" i="2"/>
  <c r="D19" i="2"/>
  <c r="C19" i="2"/>
  <c r="E16" i="2"/>
  <c r="D16" i="2"/>
  <c r="C16" i="2"/>
  <c r="E11" i="2"/>
  <c r="D11" i="2"/>
  <c r="C11" i="2"/>
  <c r="F36" i="2"/>
  <c r="F37" i="2" s="1"/>
  <c r="F31" i="2"/>
  <c r="F32" i="2" s="1"/>
  <c r="F29" i="2"/>
  <c r="F26" i="2"/>
  <c r="F19" i="2"/>
  <c r="G5" i="2"/>
  <c r="G7" i="2" s="1"/>
  <c r="E45" i="1"/>
  <c r="D45" i="1"/>
  <c r="C45" i="1"/>
  <c r="D42" i="1"/>
  <c r="E42" i="1"/>
  <c r="C42" i="1"/>
  <c r="F39" i="1"/>
  <c r="E39" i="1"/>
  <c r="D39" i="1"/>
  <c r="C39" i="1"/>
  <c r="C38" i="1"/>
  <c r="D6" i="1"/>
  <c r="D8" i="1" s="1"/>
  <c r="D3" i="2"/>
  <c r="E3" i="2" s="1"/>
  <c r="F3" i="2" s="1"/>
  <c r="H3" i="2" s="1"/>
  <c r="I3" i="2" s="1"/>
  <c r="J3" i="2" s="1"/>
  <c r="K3" i="2" s="1"/>
  <c r="D3" i="3"/>
  <c r="E3" i="3" s="1"/>
  <c r="F3" i="3" s="1"/>
  <c r="D3" i="5"/>
  <c r="E3" i="5" s="1"/>
  <c r="F63" i="5"/>
  <c r="E63" i="5"/>
  <c r="D63" i="5"/>
  <c r="F60" i="5"/>
  <c r="F61" i="5" s="1"/>
  <c r="E60" i="5"/>
  <c r="E61" i="5" s="1"/>
  <c r="D60" i="5"/>
  <c r="D61" i="5" s="1"/>
  <c r="C63" i="5"/>
  <c r="C64" i="5" s="1"/>
  <c r="H64" i="5" s="1"/>
  <c r="C60" i="5"/>
  <c r="F56" i="5"/>
  <c r="F57" i="5" s="1"/>
  <c r="E56" i="5"/>
  <c r="E57" i="5" s="1"/>
  <c r="D56" i="5"/>
  <c r="D57" i="5" s="1"/>
  <c r="C56" i="5"/>
  <c r="C57" i="5" s="1"/>
  <c r="F51" i="5"/>
  <c r="F52" i="5" s="1"/>
  <c r="F53" i="5" s="1"/>
  <c r="E51" i="5"/>
  <c r="E52" i="5" s="1"/>
  <c r="E53" i="5" s="1"/>
  <c r="D51" i="5"/>
  <c r="D52" i="5" s="1"/>
  <c r="D53" i="5" s="1"/>
  <c r="C51" i="5"/>
  <c r="C52" i="5" s="1"/>
  <c r="C53" i="5" s="1"/>
  <c r="C47" i="5"/>
  <c r="C18" i="3"/>
  <c r="C20" i="3" s="1"/>
  <c r="C27" i="3" s="1"/>
  <c r="C25" i="3" s="1"/>
  <c r="C13" i="3"/>
  <c r="C29" i="3" s="1"/>
  <c r="C6" i="3"/>
  <c r="C10" i="3"/>
  <c r="C8" i="3" s="1"/>
  <c r="F40" i="5"/>
  <c r="E40" i="5"/>
  <c r="C40" i="5"/>
  <c r="D40" i="5"/>
  <c r="C33" i="5"/>
  <c r="F33" i="5"/>
  <c r="B40" i="8" s="1"/>
  <c r="E33" i="5"/>
  <c r="D33" i="5"/>
  <c r="D8" i="5"/>
  <c r="D14" i="5" s="1"/>
  <c r="D25" i="5" s="1"/>
  <c r="C8" i="5"/>
  <c r="C14" i="5" s="1"/>
  <c r="E8" i="5"/>
  <c r="E14" i="5" s="1"/>
  <c r="E25" i="5" s="1"/>
  <c r="F8" i="5"/>
  <c r="F14" i="5" s="1"/>
  <c r="F25" i="5" s="1"/>
  <c r="F6" i="1"/>
  <c r="F36" i="1"/>
  <c r="F38" i="1" s="1"/>
  <c r="E36" i="1"/>
  <c r="E38" i="1" s="1"/>
  <c r="D36" i="1"/>
  <c r="D38" i="1" s="1"/>
  <c r="F31" i="1"/>
  <c r="F33" i="1" s="1"/>
  <c r="E31" i="1"/>
  <c r="E33" i="1" s="1"/>
  <c r="D31" i="1"/>
  <c r="D33" i="1" s="1"/>
  <c r="F26" i="1"/>
  <c r="F28" i="1" s="1"/>
  <c r="E26" i="1"/>
  <c r="E28" i="1" s="1"/>
  <c r="D26" i="1"/>
  <c r="D28" i="1" s="1"/>
  <c r="F21" i="1"/>
  <c r="F23" i="1" s="1"/>
  <c r="E21" i="1"/>
  <c r="E23" i="1" s="1"/>
  <c r="D21" i="1"/>
  <c r="D23" i="1" s="1"/>
  <c r="F16" i="1"/>
  <c r="F18" i="1" s="1"/>
  <c r="E16" i="1"/>
  <c r="E18" i="1" s="1"/>
  <c r="D16" i="1"/>
  <c r="D18" i="1" s="1"/>
  <c r="F11" i="1"/>
  <c r="F13" i="1" s="1"/>
  <c r="E11" i="1"/>
  <c r="E13" i="1" s="1"/>
  <c r="D11" i="1"/>
  <c r="D13" i="1" s="1"/>
  <c r="E6" i="1"/>
  <c r="E8" i="1" s="1"/>
  <c r="D5" i="2"/>
  <c r="D7" i="2" s="1"/>
  <c r="C5" i="2"/>
  <c r="C7" i="2" s="1"/>
  <c r="C50" i="2" s="1"/>
  <c r="D3" i="6"/>
  <c r="E3" i="6" s="1"/>
  <c r="F3" i="6" s="1"/>
  <c r="G3" i="6" s="1"/>
  <c r="D3" i="4"/>
  <c r="E3" i="4" s="1"/>
  <c r="F3" i="4" s="1"/>
  <c r="G3" i="4" s="1"/>
  <c r="E3" i="8"/>
  <c r="F3" i="8" s="1"/>
  <c r="G3" i="8" s="1"/>
  <c r="H3" i="8" s="1"/>
  <c r="G43" i="5" l="1"/>
  <c r="C15" i="4"/>
  <c r="C9" i="4" s="1"/>
  <c r="I66" i="5"/>
  <c r="J66" i="5" s="1"/>
  <c r="K66" i="5" s="1"/>
  <c r="K64" i="5"/>
  <c r="L64" i="5" s="1"/>
  <c r="I57" i="5"/>
  <c r="H56" i="5"/>
  <c r="H13" i="5" s="1"/>
  <c r="C17" i="6" s="1"/>
  <c r="H60" i="5"/>
  <c r="H29" i="5" s="1"/>
  <c r="C18" i="6" s="1"/>
  <c r="I61" i="5"/>
  <c r="I64" i="5"/>
  <c r="J64" i="5" s="1"/>
  <c r="F3" i="5"/>
  <c r="G3" i="5" s="1"/>
  <c r="H3" i="5" s="1"/>
  <c r="I3" i="5" s="1"/>
  <c r="J3" i="5" s="1"/>
  <c r="K3" i="5" s="1"/>
  <c r="L3" i="5" s="1"/>
  <c r="G25" i="3"/>
  <c r="H23" i="3"/>
  <c r="H52" i="5"/>
  <c r="H51" i="5" s="1"/>
  <c r="H12" i="5" s="1"/>
  <c r="C16" i="6" s="1"/>
  <c r="I53" i="5"/>
  <c r="L3" i="2"/>
  <c r="D15" i="3"/>
  <c r="D14" i="3"/>
  <c r="F15" i="3"/>
  <c r="G6" i="3"/>
  <c r="F14" i="3"/>
  <c r="G27" i="3"/>
  <c r="G20" i="3" s="1"/>
  <c r="G18" i="3" s="1"/>
  <c r="F6" i="3"/>
  <c r="F7" i="3" s="1"/>
  <c r="E14" i="3"/>
  <c r="E6" i="3"/>
  <c r="E7" i="3" s="1"/>
  <c r="E15" i="3"/>
  <c r="L32" i="2"/>
  <c r="L41" i="1"/>
  <c r="L45" i="1" s="1"/>
  <c r="H45" i="1"/>
  <c r="K39" i="1"/>
  <c r="J39" i="1"/>
  <c r="I39" i="1"/>
  <c r="C48" i="5"/>
  <c r="C49" i="5" s="1"/>
  <c r="F5" i="2"/>
  <c r="F7" i="2" s="1"/>
  <c r="C53" i="2"/>
  <c r="D12" i="2"/>
  <c r="D21" i="2" s="1"/>
  <c r="C21" i="2"/>
  <c r="C56" i="2" s="1"/>
  <c r="E5" i="2"/>
  <c r="H3" i="3"/>
  <c r="I3" i="3" s="1"/>
  <c r="J3" i="3" s="1"/>
  <c r="F41" i="5"/>
  <c r="F43" i="5" s="1"/>
  <c r="C41" i="5"/>
  <c r="D41" i="5"/>
  <c r="D43" i="5" s="1"/>
  <c r="E41" i="5"/>
  <c r="E43" i="5" s="1"/>
  <c r="E23" i="3"/>
  <c r="E24" i="3" s="1"/>
  <c r="F23" i="3"/>
  <c r="F24" i="3" s="1"/>
  <c r="D23" i="3"/>
  <c r="D24" i="3" s="1"/>
  <c r="C24" i="3"/>
  <c r="C14" i="3"/>
  <c r="C7" i="3"/>
  <c r="C15" i="3"/>
  <c r="D6" i="3"/>
  <c r="D7" i="3" s="1"/>
  <c r="C25" i="5"/>
  <c r="F46" i="1"/>
  <c r="D46" i="1"/>
  <c r="E46" i="1"/>
  <c r="I60" i="5" l="1"/>
  <c r="I29" i="5" s="1"/>
  <c r="D18" i="6" s="1"/>
  <c r="J61" i="5"/>
  <c r="I56" i="5"/>
  <c r="I13" i="5" s="1"/>
  <c r="D17" i="6" s="1"/>
  <c r="J57" i="5"/>
  <c r="H34" i="5"/>
  <c r="C7" i="4"/>
  <c r="C21" i="4"/>
  <c r="D6" i="4"/>
  <c r="C13" i="4"/>
  <c r="J53" i="5"/>
  <c r="I52" i="5"/>
  <c r="I51" i="5" s="1"/>
  <c r="I12" i="5" s="1"/>
  <c r="D16" i="6" s="1"/>
  <c r="I41" i="1"/>
  <c r="I45" i="1" s="1"/>
  <c r="J41" i="1"/>
  <c r="J45" i="1" s="1"/>
  <c r="K41" i="1"/>
  <c r="K45" i="1" s="1"/>
  <c r="H46" i="1"/>
  <c r="H5" i="2"/>
  <c r="H7" i="2" s="1"/>
  <c r="C49" i="2"/>
  <c r="C66" i="5"/>
  <c r="C58" i="2"/>
  <c r="D66" i="5"/>
  <c r="C34" i="2"/>
  <c r="C51" i="2"/>
  <c r="D34" i="2"/>
  <c r="E7" i="2"/>
  <c r="C43" i="5"/>
  <c r="H30" i="5" l="1"/>
  <c r="D18" i="4"/>
  <c r="C26" i="4"/>
  <c r="H26" i="2" s="1"/>
  <c r="C20" i="4"/>
  <c r="C32" i="6" s="1"/>
  <c r="C19" i="4"/>
  <c r="C31" i="6" s="1"/>
  <c r="J56" i="5"/>
  <c r="J13" i="5" s="1"/>
  <c r="E17" i="6" s="1"/>
  <c r="K57" i="5"/>
  <c r="K53" i="5"/>
  <c r="J52" i="5"/>
  <c r="J51" i="5" s="1"/>
  <c r="J12" i="5" s="1"/>
  <c r="E16" i="6" s="1"/>
  <c r="J60" i="5"/>
  <c r="J29" i="5" s="1"/>
  <c r="E18" i="6" s="1"/>
  <c r="K61" i="5"/>
  <c r="K5" i="2"/>
  <c r="K46" i="1"/>
  <c r="L46" i="1"/>
  <c r="I46" i="1"/>
  <c r="I5" i="2"/>
  <c r="J5" i="2"/>
  <c r="J46" i="1"/>
  <c r="D38" i="2"/>
  <c r="C38" i="2"/>
  <c r="C52" i="2"/>
  <c r="E12" i="2"/>
  <c r="E21" i="2" s="1"/>
  <c r="K52" i="5" l="1"/>
  <c r="K51" i="5" s="1"/>
  <c r="K12" i="5" s="1"/>
  <c r="F16" i="6" s="1"/>
  <c r="L53" i="5"/>
  <c r="L52" i="5" s="1"/>
  <c r="L51" i="5" s="1"/>
  <c r="L12" i="5" s="1"/>
  <c r="G16" i="6" s="1"/>
  <c r="K56" i="5"/>
  <c r="K13" i="5" s="1"/>
  <c r="F17" i="6" s="1"/>
  <c r="L57" i="5"/>
  <c r="L56" i="5" s="1"/>
  <c r="L13" i="5" s="1"/>
  <c r="G17" i="6" s="1"/>
  <c r="K60" i="5"/>
  <c r="K29" i="5" s="1"/>
  <c r="F18" i="6" s="1"/>
  <c r="L61" i="5"/>
  <c r="L60" i="5" s="1"/>
  <c r="L29" i="5" s="1"/>
  <c r="G18" i="6" s="1"/>
  <c r="C55" i="2"/>
  <c r="C54" i="2"/>
  <c r="E66" i="5"/>
  <c r="E34" i="2"/>
  <c r="D40" i="2"/>
  <c r="D42" i="2" s="1"/>
  <c r="D46" i="2" s="1"/>
  <c r="F66" i="5" l="1"/>
  <c r="E38" i="2"/>
  <c r="D6" i="8"/>
  <c r="D7" i="8" s="1"/>
  <c r="F40" i="2"/>
  <c r="C40" i="2"/>
  <c r="C42" i="2" s="1"/>
  <c r="C46" i="2" s="1"/>
  <c r="E6" i="8" l="1"/>
  <c r="E7" i="8" s="1"/>
  <c r="E40" i="2"/>
  <c r="E42" i="2" s="1"/>
  <c r="E46" i="2" s="1"/>
  <c r="F6" i="8" l="1"/>
  <c r="F7" i="8" s="1"/>
  <c r="G6" i="8" l="1"/>
  <c r="G7" i="8" s="1"/>
  <c r="H6" i="8" l="1"/>
  <c r="H7" i="8" s="1"/>
  <c r="C9" i="6"/>
  <c r="C33" i="6"/>
  <c r="D15" i="4"/>
  <c r="E15" i="4"/>
  <c r="F15" i="4"/>
  <c r="H18" i="3"/>
  <c r="H20" i="3"/>
  <c r="I23" i="3"/>
  <c r="I25" i="3"/>
  <c r="J23" i="3" s="1"/>
  <c r="J25" i="3" s="1"/>
  <c r="H27" i="3"/>
  <c r="K23" i="3" l="1"/>
  <c r="K25" i="3" s="1"/>
  <c r="J27" i="3"/>
  <c r="J20" i="3" s="1"/>
  <c r="J18" i="3" s="1"/>
  <c r="J24" i="5" s="1"/>
  <c r="I27" i="3"/>
  <c r="I20" i="3" s="1"/>
  <c r="I18" i="3" s="1"/>
  <c r="I24" i="5" s="1"/>
  <c r="L23" i="3" l="1"/>
  <c r="L25" i="3" s="1"/>
  <c r="L27" i="3" s="1"/>
  <c r="L20" i="3" s="1"/>
  <c r="L18" i="3" s="1"/>
  <c r="L24" i="5" s="1"/>
  <c r="K27" i="3"/>
  <c r="K20" i="3" s="1"/>
  <c r="K18" i="3" s="1"/>
  <c r="K24" i="5" s="1"/>
  <c r="G8" i="3"/>
  <c r="H6" i="3" s="1"/>
  <c r="G14" i="3"/>
  <c r="H14" i="3" s="1"/>
  <c r="I14" i="3" s="1"/>
  <c r="J14" i="3" s="1"/>
  <c r="K14" i="3" s="1"/>
  <c r="L14" i="3" s="1"/>
  <c r="L12" i="3" s="1"/>
  <c r="L13" i="3" s="1"/>
  <c r="L57" i="2" s="1"/>
  <c r="G15" i="3"/>
  <c r="H8" i="8" l="1"/>
  <c r="G8" i="6"/>
  <c r="L56" i="2"/>
  <c r="G7" i="3"/>
  <c r="C23" i="6" s="1"/>
  <c r="B34" i="8" l="1"/>
  <c r="B35" i="8" s="1"/>
  <c r="B36" i="8" s="1"/>
  <c r="L58" i="2"/>
  <c r="D10" i="8"/>
  <c r="H6" i="5"/>
  <c r="I6" i="5"/>
  <c r="J6" i="5"/>
  <c r="K6" i="5"/>
  <c r="L6" i="5"/>
  <c r="H8" i="5"/>
  <c r="I8" i="5"/>
  <c r="J8" i="5"/>
  <c r="K8" i="5"/>
  <c r="L8" i="5"/>
  <c r="H11" i="5"/>
  <c r="I11" i="5"/>
  <c r="J11" i="5"/>
  <c r="K11" i="5"/>
  <c r="L11" i="5"/>
  <c r="H14" i="5"/>
  <c r="I14" i="5"/>
  <c r="J14" i="5"/>
  <c r="K14" i="5"/>
  <c r="L14" i="5"/>
  <c r="H20" i="5"/>
  <c r="I20" i="5"/>
  <c r="J20" i="5"/>
  <c r="K20" i="5"/>
  <c r="L20" i="5"/>
  <c r="H23" i="5"/>
  <c r="I23" i="5"/>
  <c r="J23" i="5"/>
  <c r="K23" i="5"/>
  <c r="L23" i="5"/>
  <c r="H25" i="5"/>
  <c r="I25" i="5"/>
  <c r="J25" i="5"/>
  <c r="K25" i="5"/>
  <c r="L25" i="5"/>
  <c r="I30" i="5"/>
  <c r="J30" i="5"/>
  <c r="K30" i="5"/>
  <c r="L30" i="5"/>
  <c r="H32" i="5"/>
  <c r="I32" i="5"/>
  <c r="J32" i="5"/>
  <c r="K32" i="5"/>
  <c r="L32" i="5"/>
  <c r="H33" i="5"/>
  <c r="I33" i="5"/>
  <c r="J33" i="5"/>
  <c r="K33" i="5"/>
  <c r="L33" i="5"/>
  <c r="I34" i="5"/>
  <c r="J34" i="5"/>
  <c r="K34" i="5"/>
  <c r="L34" i="5"/>
  <c r="H38" i="5"/>
  <c r="I38" i="5"/>
  <c r="J38" i="5"/>
  <c r="K38" i="5"/>
  <c r="L38" i="5"/>
  <c r="H39" i="5"/>
  <c r="I39" i="5"/>
  <c r="J39" i="5"/>
  <c r="K39" i="5"/>
  <c r="L39" i="5"/>
  <c r="H40" i="5"/>
  <c r="I40" i="5"/>
  <c r="J40" i="5"/>
  <c r="K40" i="5"/>
  <c r="L40" i="5"/>
  <c r="H41" i="5"/>
  <c r="I41" i="5"/>
  <c r="J41" i="5"/>
  <c r="K41" i="5"/>
  <c r="L41" i="5"/>
  <c r="H47" i="5"/>
  <c r="I47" i="5"/>
  <c r="J47" i="5"/>
  <c r="K47" i="5"/>
  <c r="L47" i="5"/>
  <c r="H48" i="5"/>
  <c r="I48" i="5"/>
  <c r="J48" i="5"/>
  <c r="K48" i="5"/>
  <c r="L48" i="5"/>
  <c r="H49" i="5"/>
  <c r="I49" i="5"/>
  <c r="J49" i="5"/>
  <c r="K49" i="5"/>
  <c r="L49" i="5"/>
  <c r="H55" i="5"/>
  <c r="I55" i="5"/>
  <c r="J55" i="5"/>
  <c r="K55" i="5"/>
  <c r="L55" i="5"/>
  <c r="H63" i="5"/>
  <c r="I63" i="5"/>
  <c r="J63" i="5"/>
  <c r="K63" i="5"/>
  <c r="L63" i="5"/>
  <c r="I6" i="3"/>
  <c r="J6" i="3"/>
  <c r="K6" i="3"/>
  <c r="L6" i="3"/>
  <c r="H7" i="3"/>
  <c r="I7" i="3"/>
  <c r="J7" i="3"/>
  <c r="K7" i="3"/>
  <c r="L7" i="3"/>
  <c r="H8" i="3"/>
  <c r="I8" i="3"/>
  <c r="J8" i="3"/>
  <c r="K8" i="3"/>
  <c r="H9" i="3"/>
  <c r="I9" i="3"/>
  <c r="J9" i="3"/>
  <c r="K9" i="3"/>
  <c r="L9" i="3"/>
  <c r="H10" i="3"/>
  <c r="I10" i="3"/>
  <c r="J10" i="3"/>
  <c r="K10" i="3"/>
  <c r="L10" i="3"/>
  <c r="H12" i="3"/>
  <c r="I12" i="3"/>
  <c r="J12" i="3"/>
  <c r="K12" i="3"/>
  <c r="H13" i="3"/>
  <c r="I13" i="3"/>
  <c r="J13" i="3"/>
  <c r="K13" i="3"/>
  <c r="H15" i="3"/>
  <c r="I15" i="3"/>
  <c r="J15" i="3"/>
  <c r="K15" i="3"/>
  <c r="C6" i="6"/>
  <c r="D6" i="6"/>
  <c r="E6" i="6"/>
  <c r="F6" i="6"/>
  <c r="G6" i="6"/>
  <c r="C8" i="6"/>
  <c r="D8" i="6"/>
  <c r="E8" i="6"/>
  <c r="F8" i="6"/>
  <c r="D9" i="6"/>
  <c r="E9" i="6"/>
  <c r="F9" i="6"/>
  <c r="G9" i="6"/>
  <c r="C10" i="6"/>
  <c r="D10" i="6"/>
  <c r="E10" i="6"/>
  <c r="F10" i="6"/>
  <c r="G10" i="6"/>
  <c r="C13" i="6"/>
  <c r="D13" i="6"/>
  <c r="E13" i="6"/>
  <c r="F13" i="6"/>
  <c r="G13" i="6"/>
  <c r="C15" i="6"/>
  <c r="D15" i="6"/>
  <c r="E15" i="6"/>
  <c r="F15" i="6"/>
  <c r="G15" i="6"/>
  <c r="C19" i="6"/>
  <c r="D19" i="6"/>
  <c r="E19" i="6"/>
  <c r="F19" i="6"/>
  <c r="G19" i="6"/>
  <c r="C20" i="6"/>
  <c r="D20" i="6"/>
  <c r="E20" i="6"/>
  <c r="F20" i="6"/>
  <c r="G20" i="6"/>
  <c r="D23" i="6"/>
  <c r="E23" i="6"/>
  <c r="F23" i="6"/>
  <c r="G23" i="6"/>
  <c r="C25" i="6"/>
  <c r="D25" i="6"/>
  <c r="E25" i="6"/>
  <c r="F25" i="6"/>
  <c r="G25" i="6"/>
  <c r="C28" i="6"/>
  <c r="D28" i="6"/>
  <c r="E28" i="6"/>
  <c r="F28" i="6"/>
  <c r="G28" i="6"/>
  <c r="D31" i="6"/>
  <c r="E31" i="6"/>
  <c r="F31" i="6"/>
  <c r="G31" i="6"/>
  <c r="D32" i="6"/>
  <c r="E32" i="6"/>
  <c r="F32" i="6"/>
  <c r="G32" i="6"/>
  <c r="D33" i="6"/>
  <c r="E33" i="6"/>
  <c r="F33" i="6"/>
  <c r="G33" i="6"/>
  <c r="C34" i="6"/>
  <c r="D34" i="6"/>
  <c r="E34" i="6"/>
  <c r="F34" i="6"/>
  <c r="G34" i="6"/>
  <c r="C35" i="6"/>
  <c r="D35" i="6"/>
  <c r="E35" i="6"/>
  <c r="F35" i="6"/>
  <c r="G35" i="6"/>
  <c r="C37" i="6"/>
  <c r="D37" i="6"/>
  <c r="E37" i="6"/>
  <c r="F37" i="6"/>
  <c r="G37" i="6"/>
  <c r="D39" i="6"/>
  <c r="E39" i="6"/>
  <c r="F39" i="6"/>
  <c r="G39" i="6"/>
  <c r="C40" i="6"/>
  <c r="D40" i="6"/>
  <c r="E40" i="6"/>
  <c r="F40" i="6"/>
  <c r="G40" i="6"/>
  <c r="E6" i="4"/>
  <c r="F6" i="4"/>
  <c r="G6" i="4"/>
  <c r="D7" i="4"/>
  <c r="E7" i="4"/>
  <c r="F7" i="4"/>
  <c r="G7" i="4"/>
  <c r="D9" i="4"/>
  <c r="E9" i="4"/>
  <c r="F9" i="4"/>
  <c r="G9" i="4"/>
  <c r="D13" i="4"/>
  <c r="E13" i="4"/>
  <c r="F13" i="4"/>
  <c r="G13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6" i="4"/>
  <c r="E26" i="4"/>
  <c r="F26" i="4"/>
  <c r="G26" i="4"/>
  <c r="H23" i="2"/>
  <c r="I23" i="2"/>
  <c r="J23" i="2"/>
  <c r="K23" i="2"/>
  <c r="L23" i="2"/>
  <c r="I26" i="2"/>
  <c r="J26" i="2"/>
  <c r="K26" i="2"/>
  <c r="L26" i="2"/>
  <c r="H34" i="2"/>
  <c r="I34" i="2"/>
  <c r="J34" i="2"/>
  <c r="K34" i="2"/>
  <c r="L34" i="2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2" i="2"/>
  <c r="I42" i="2"/>
  <c r="J42" i="2"/>
  <c r="K42" i="2"/>
  <c r="L42" i="2"/>
  <c r="H45" i="2"/>
  <c r="I45" i="2"/>
  <c r="J45" i="2"/>
  <c r="K45" i="2"/>
  <c r="L45" i="2"/>
  <c r="H54" i="2"/>
  <c r="I54" i="2"/>
  <c r="J54" i="2"/>
  <c r="K54" i="2"/>
  <c r="L54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L59" i="2"/>
  <c r="C3" i="1"/>
  <c r="D3" i="1"/>
  <c r="E3" i="1"/>
  <c r="F3" i="1"/>
  <c r="G3" i="1"/>
  <c r="H3" i="1"/>
  <c r="I3" i="1"/>
  <c r="J3" i="1"/>
  <c r="K3" i="1"/>
  <c r="L3" i="1"/>
  <c r="D8" i="8"/>
  <c r="E8" i="8"/>
  <c r="F8" i="8"/>
  <c r="G8" i="8"/>
  <c r="D9" i="8"/>
  <c r="E9" i="8"/>
  <c r="F9" i="8"/>
  <c r="G9" i="8"/>
  <c r="H9" i="8"/>
  <c r="E10" i="8"/>
  <c r="F10" i="8"/>
  <c r="G10" i="8"/>
  <c r="H10" i="8"/>
  <c r="D11" i="8"/>
  <c r="E11" i="8"/>
  <c r="F11" i="8"/>
  <c r="G11" i="8"/>
  <c r="H11" i="8"/>
  <c r="E12" i="8"/>
  <c r="F12" i="8"/>
  <c r="G12" i="8"/>
  <c r="H12" i="8"/>
  <c r="H13" i="8"/>
  <c r="D14" i="8"/>
  <c r="E14" i="8"/>
  <c r="F14" i="8"/>
  <c r="G14" i="8"/>
  <c r="H14" i="8"/>
  <c r="D15" i="8"/>
  <c r="E15" i="8"/>
  <c r="F15" i="8"/>
  <c r="G15" i="8"/>
  <c r="H15" i="8"/>
  <c r="E18" i="8"/>
  <c r="B20" i="8"/>
  <c r="B24" i="8"/>
  <c r="B26" i="8"/>
  <c r="B32" i="8"/>
  <c r="B37" i="8"/>
  <c r="E37" i="8"/>
  <c r="F37" i="8"/>
  <c r="G37" i="8"/>
  <c r="H37" i="8"/>
  <c r="I37" i="8"/>
  <c r="B41" i="8"/>
  <c r="B43" i="8"/>
  <c r="B44" i="8"/>
</calcChain>
</file>

<file path=xl/sharedStrings.xml><?xml version="1.0" encoding="utf-8"?>
<sst xmlns="http://schemas.openxmlformats.org/spreadsheetml/2006/main" count="358" uniqueCount="238">
  <si>
    <t>r</t>
  </si>
  <si>
    <t>Particulars</t>
  </si>
  <si>
    <t>Unit</t>
  </si>
  <si>
    <t>Forecast</t>
  </si>
  <si>
    <t>Historical</t>
  </si>
  <si>
    <t>Total revenue</t>
  </si>
  <si>
    <t>Europe, Middle East &amp; Africa</t>
  </si>
  <si>
    <t>Latin America</t>
  </si>
  <si>
    <t>North America</t>
  </si>
  <si>
    <t>Asia Pacific</t>
  </si>
  <si>
    <t>Global Ventures</t>
  </si>
  <si>
    <t>Bottling Investments</t>
  </si>
  <si>
    <t>Corporate</t>
  </si>
  <si>
    <t>Eliminations</t>
  </si>
  <si>
    <t>Growth rate%</t>
  </si>
  <si>
    <t>Total net operating revenue</t>
  </si>
  <si>
    <t>Cost of goods sold</t>
  </si>
  <si>
    <t>Selling, general and administrative expenses</t>
  </si>
  <si>
    <t>Other operating charges</t>
  </si>
  <si>
    <t>Interest income</t>
  </si>
  <si>
    <t>Interest expense</t>
  </si>
  <si>
    <t>Equity income (loss) — net</t>
  </si>
  <si>
    <t>Other income (loss) — net</t>
  </si>
  <si>
    <t>Income taxes</t>
  </si>
  <si>
    <t>Consolidated Net Income</t>
  </si>
  <si>
    <t>Less: Net income (loss) attributable to noncontrolling interests</t>
  </si>
  <si>
    <t>Net Income Attributable to Shareowners of The Coca-Cola Company</t>
  </si>
  <si>
    <t>Diluted EPS</t>
  </si>
  <si>
    <t>Average Shares Outstanding — Diluted</t>
  </si>
  <si>
    <t>Workings</t>
  </si>
  <si>
    <t>GP margin %</t>
  </si>
  <si>
    <t>SG&amp;A as % of sales</t>
  </si>
  <si>
    <t>EBIT margin %</t>
  </si>
  <si>
    <t>Effective tax rate %</t>
  </si>
  <si>
    <t>Noncontrolling interests as % of Conso. Net income</t>
  </si>
  <si>
    <t>Depreciation and amortization</t>
  </si>
  <si>
    <t>Current Assets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</si>
  <si>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</si>
  <si>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</si>
  <si>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</si>
  <si>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</si>
  <si>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</si>
  <si>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</t>
  </si>
  <si>
    <t>Inventories</t>
  </si>
  <si>
    <t>Prepaid expenses and other current assets</t>
  </si>
  <si>
    <t>Total Current Assets</t>
  </si>
  <si>
    <t>Equity method investments</t>
  </si>
  <si>
    <t>Other investments</t>
  </si>
  <si>
    <t>Other noncurrent assets</t>
  </si>
  <si>
    <t>Deferred income tax assets</t>
  </si>
  <si>
    <t>Property, plant and equipment (net)</t>
  </si>
  <si>
    <t>Trademarks with indefinite lives</t>
  </si>
  <si>
    <t>Goodwill</t>
  </si>
  <si>
    <t>Other intangible assets</t>
  </si>
  <si>
    <t>Current Liabilities</t>
  </si>
  <si>
    <t>Total assets</t>
  </si>
  <si>
    <t>Equity and Liabilities</t>
  </si>
  <si>
    <t>Accounts payable and accrued expenses</t>
  </si>
  <si>
    <t>Loans and notes payable</t>
  </si>
  <si>
    <t>Current maturities of long-term debt</t>
  </si>
  <si>
    <t>Accrued income taxes</t>
  </si>
  <si>
    <t>Total Current Liabilities</t>
  </si>
  <si>
    <t>Long-term debt</t>
  </si>
  <si>
    <t>Other noncurrent liabilities</t>
  </si>
  <si>
    <t>Deferred income tax liabilities</t>
  </si>
  <si>
    <t>Equity</t>
  </si>
  <si>
    <t>Noncontrolling interests</t>
  </si>
  <si>
    <t>Total Equity</t>
  </si>
  <si>
    <t>Total Liabilities and Equity</t>
  </si>
  <si>
    <t>$</t>
  </si>
  <si>
    <t>(In millions except par value)</t>
  </si>
  <si>
    <t>Check</t>
  </si>
  <si>
    <t>Opening balance</t>
  </si>
  <si>
    <t>Add:Net purchases</t>
  </si>
  <si>
    <t>Gross block</t>
  </si>
  <si>
    <t>Less: Accumulated depreciation</t>
  </si>
  <si>
    <t>Net block</t>
  </si>
  <si>
    <t>Property plant and equipment</t>
  </si>
  <si>
    <t>Depreciation</t>
  </si>
  <si>
    <t>Amortization</t>
  </si>
  <si>
    <t>Depreciation &amp; amortization</t>
  </si>
  <si>
    <t>Rate of depreciation</t>
  </si>
  <si>
    <t>FATR</t>
  </si>
  <si>
    <t>Other Intangible assets</t>
  </si>
  <si>
    <t>Less: Accumulated amortization</t>
  </si>
  <si>
    <t>Other Intangible assets (With Definite life)</t>
  </si>
  <si>
    <t>Other Intangible assets (With indefinite life)</t>
  </si>
  <si>
    <t>Current assets</t>
  </si>
  <si>
    <t>Current liabilities</t>
  </si>
  <si>
    <t>Receivable turnover ratio</t>
  </si>
  <si>
    <t>Receivable days</t>
  </si>
  <si>
    <t>Days</t>
  </si>
  <si>
    <t>Inventory turnover ratio</t>
  </si>
  <si>
    <t>Inventory days</t>
  </si>
  <si>
    <t>Accounts payable and accrued expenses as % of COGS</t>
  </si>
  <si>
    <t>Cash flow form operations</t>
  </si>
  <si>
    <t>Cashflow from Investing activities</t>
  </si>
  <si>
    <t>Cashflow from Financing activities</t>
  </si>
  <si>
    <t>Net profit</t>
  </si>
  <si>
    <t>EBITDA margin</t>
  </si>
  <si>
    <t>Interest expenses</t>
  </si>
  <si>
    <t>Add/Less : Non Cash items</t>
  </si>
  <si>
    <t>Cash flow form operations before working capital changes</t>
  </si>
  <si>
    <t>Trade receivable</t>
  </si>
  <si>
    <t>Inventory</t>
  </si>
  <si>
    <t>Cash generated from operations</t>
  </si>
  <si>
    <t>Purchase of Property plant and equipment</t>
  </si>
  <si>
    <t>Purchase of Intangible assets</t>
  </si>
  <si>
    <t>Interset income</t>
  </si>
  <si>
    <t>Equity income</t>
  </si>
  <si>
    <t>Other Income</t>
  </si>
  <si>
    <t>Cash generated from investments</t>
  </si>
  <si>
    <t>Debt Taken</t>
  </si>
  <si>
    <t>Debt repaid</t>
  </si>
  <si>
    <t>Interest paid</t>
  </si>
  <si>
    <t>Dividend</t>
  </si>
  <si>
    <t>Dividend per share</t>
  </si>
  <si>
    <t>Dividend payout ratio</t>
  </si>
  <si>
    <t>Cash generated from financing activity</t>
  </si>
  <si>
    <t>Total cash generated during year</t>
  </si>
  <si>
    <t>Add: Opening balance of cash and cash equivalents</t>
  </si>
  <si>
    <t>Closing balance</t>
  </si>
  <si>
    <t>Add:Loan taken</t>
  </si>
  <si>
    <t>Less: Loan repaid</t>
  </si>
  <si>
    <t>Average Interest rate</t>
  </si>
  <si>
    <t>Accrued income taxes as % of Income tax</t>
  </si>
  <si>
    <t>Add/Less: Inorganic growth</t>
  </si>
  <si>
    <t>Organic</t>
  </si>
  <si>
    <t>Total revenue before elemination</t>
  </si>
  <si>
    <t>Eliminations as % of revenue before elemination</t>
  </si>
  <si>
    <t>Normalised COGS</t>
  </si>
  <si>
    <t>Normalised revenue</t>
  </si>
  <si>
    <t>Add/Less: Extraordinary items</t>
  </si>
  <si>
    <t>Normalised Gross Profit</t>
  </si>
  <si>
    <t>Normalised Selling, general and administrative expenses</t>
  </si>
  <si>
    <t>Normalised Operating Income (EBIT)</t>
  </si>
  <si>
    <t>Normalised Other operating charges</t>
  </si>
  <si>
    <t>Normalised Interest expense</t>
  </si>
  <si>
    <t>Normalised Equity income (loss) — net</t>
  </si>
  <si>
    <t>Normalised Other income (loss) — net</t>
  </si>
  <si>
    <t>Normalised Income Before Income Taxes (PBT)</t>
  </si>
  <si>
    <t>Normalised Income taxes</t>
  </si>
  <si>
    <t>Equity Income as % of sales</t>
  </si>
  <si>
    <t>Net profit margin</t>
  </si>
  <si>
    <t>Opening Gross block</t>
  </si>
  <si>
    <t>Closing Gross block</t>
  </si>
  <si>
    <t/>
  </si>
  <si>
    <t>Other Intangible assets (With definite life)</t>
  </si>
  <si>
    <t>Normalised EBITDA</t>
  </si>
  <si>
    <t>Prepaid expenses and other current assets as % of (COGS &amp; SG&amp;A)</t>
  </si>
  <si>
    <t>Total Long term debt/EBITDA</t>
  </si>
  <si>
    <t>Total  long term debt/EBITDA</t>
  </si>
  <si>
    <t>Notes and Loans payable as % of long term debt</t>
  </si>
  <si>
    <t>Changes in Working capital</t>
  </si>
  <si>
    <t>Yield on cash</t>
  </si>
  <si>
    <t>EBIT</t>
  </si>
  <si>
    <t>Less: Income taxes</t>
  </si>
  <si>
    <t>Tax Rate</t>
  </si>
  <si>
    <t>NOPAT</t>
  </si>
  <si>
    <t>Add: D&amp;A</t>
  </si>
  <si>
    <t>Changes in WC</t>
  </si>
  <si>
    <t>Less: Capex</t>
  </si>
  <si>
    <t>FCFF</t>
  </si>
  <si>
    <t>Terminal value</t>
  </si>
  <si>
    <t>Total Cash Flow</t>
  </si>
  <si>
    <t>PV of cashflows</t>
  </si>
  <si>
    <t>Value of firm</t>
  </si>
  <si>
    <t>Value of equity</t>
  </si>
  <si>
    <t>Cost of equity</t>
  </si>
  <si>
    <t>Risk free rate of returns</t>
  </si>
  <si>
    <t>Returns from Market (Historical)</t>
  </si>
  <si>
    <t>Date</t>
  </si>
  <si>
    <t>Year</t>
  </si>
  <si>
    <t>Index value</t>
  </si>
  <si>
    <t>Total Time</t>
  </si>
  <si>
    <t>CAGR</t>
  </si>
  <si>
    <t>CocaCola</t>
  </si>
  <si>
    <t>Price</t>
  </si>
  <si>
    <t>Returns</t>
  </si>
  <si>
    <t>Pepsi Co.</t>
  </si>
  <si>
    <t>Keurig Dr. pepper</t>
  </si>
  <si>
    <t>Monster beverages</t>
  </si>
  <si>
    <t>NYSE</t>
  </si>
  <si>
    <t>Regression Beta</t>
  </si>
  <si>
    <t>WACC</t>
  </si>
  <si>
    <t xml:space="preserve">Long term growth rate </t>
  </si>
  <si>
    <t>Less: Value of debt</t>
  </si>
  <si>
    <t>Add:Cash and cash equivalents</t>
  </si>
  <si>
    <t>Add: Investments</t>
  </si>
  <si>
    <t>No of shares outstanding</t>
  </si>
  <si>
    <t>Fair Value / share</t>
  </si>
  <si>
    <t>GROWTH</t>
  </si>
  <si>
    <t>Cost of debt</t>
  </si>
  <si>
    <t>Marginal tax rate</t>
  </si>
  <si>
    <t>Market based method</t>
  </si>
  <si>
    <t>Yield of Coca-Cola Bond</t>
  </si>
  <si>
    <t xml:space="preserve">FV </t>
  </si>
  <si>
    <t>CMP</t>
  </si>
  <si>
    <t>Redempetion</t>
  </si>
  <si>
    <t>Valuation date</t>
  </si>
  <si>
    <t>Time to maturity</t>
  </si>
  <si>
    <t>Coupon rate</t>
  </si>
  <si>
    <t>Coupon amount</t>
  </si>
  <si>
    <t>Cost of debt. (Pre tax)</t>
  </si>
  <si>
    <t>Cost of debt. (Post tax)</t>
  </si>
  <si>
    <t>Premium based method</t>
  </si>
  <si>
    <t>Risk free rate</t>
  </si>
  <si>
    <t>Risk premium</t>
  </si>
  <si>
    <t>Bottom-up beta</t>
  </si>
  <si>
    <t>Cost of equity (CAPM)</t>
  </si>
  <si>
    <t>Name</t>
  </si>
  <si>
    <t>Average Market Cap</t>
  </si>
  <si>
    <t>Average Debt</t>
  </si>
  <si>
    <t>Total Capital</t>
  </si>
  <si>
    <t>Unlevered beta</t>
  </si>
  <si>
    <t>Peers</t>
  </si>
  <si>
    <t>Average Unlevered beta</t>
  </si>
  <si>
    <t>Relevered beta</t>
  </si>
  <si>
    <t>Re levered beta</t>
  </si>
  <si>
    <t>EV/EBIDTA Exit Multiple Method</t>
  </si>
  <si>
    <t xml:space="preserve">∑ PV of FCFF </t>
  </si>
  <si>
    <t>Terminal Value</t>
  </si>
  <si>
    <t>EV/EBIDTA Exit Multiple</t>
  </si>
  <si>
    <t>Dr Pepper</t>
  </si>
  <si>
    <t>Pepsi</t>
  </si>
  <si>
    <t>Monster</t>
  </si>
  <si>
    <t>PV Terminal Value</t>
  </si>
  <si>
    <t>Value of Firm (Enterprise Value)</t>
  </si>
  <si>
    <t>Value of Debt</t>
  </si>
  <si>
    <t>Value of Cash and STI</t>
  </si>
  <si>
    <t>EBIDTA (2029F) (USD Million)</t>
  </si>
  <si>
    <t>Discount Factor (PVIF)</t>
  </si>
  <si>
    <t>Present Value of FCFF</t>
  </si>
  <si>
    <t>Discount/Premium to CMP ($69.56)</t>
  </si>
  <si>
    <t>Terminal Value Method</t>
  </si>
  <si>
    <t>Peers Forward EV/EBIDTA(2Yr)</t>
  </si>
  <si>
    <t>Forecasting Adjustment – Non-operating Asset</t>
  </si>
  <si>
    <t>Balancing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</si>
</sst>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FY&quot;\ 0"/>
    <numFmt numFmtId="165" formatCode="_(* #,##0_);_(* \(#,##0\);_(* &quot;-&quot;??_);_(@_)"/>
    <numFmt numFmtId="166" formatCode="0.0%"/>
    <numFmt numFmtId="167" formatCode="#,##0;\(#,##0\)"/>
    <numFmt numFmtId="168" formatCode="#,##0.00;\(#,##0.00\)"/>
    <numFmt numFmtId="169" formatCode="#,##0.000;\(#,##0.000\)"/>
  </numFmts>
  <fonts count="2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Arial"/>
      <family val="2"/>
    </font>
    <font>
      <i/>
      <sz val="9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14"/>
      <color rgb="FF232A31"/>
      <name val="Helvetica Neue"/>
      <family val="2"/>
    </font>
    <font>
      <sz val="11"/>
      <color theme="8"/>
      <name val="Calibri"/>
      <family val="2"/>
      <scheme val="minor"/>
    </font>
    <font>
      <i/>
      <sz val="9"/>
      <color theme="8"/>
      <name val="Calibri"/>
      <family val="2"/>
      <scheme val="minor"/>
    </font>
    <font>
      <b/>
      <sz val="10"/>
      <color theme="0"/>
      <name val="Open Sans"/>
      <family val="2"/>
    </font>
    <font>
      <sz val="11"/>
      <name val="Calibri"/>
      <family val="2"/>
      <scheme val="minor"/>
    </font>
    <font>
      <b/>
      <sz val="10"/>
      <color theme="1"/>
      <name val="Open Sans"/>
      <family val="2"/>
    </font>
    <font>
      <sz val="11"/>
      <color theme="0"/>
      <name val="Calibri"/>
      <family val="2"/>
      <scheme val="minor"/>
    </font>
    <font>
      <i/>
      <sz val="11"/>
      <color theme="0"/>
      <name val="Open Sans"/>
      <family val="2"/>
    </font>
    <font>
      <sz val="11"/>
      <color theme="0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Calibri"/>
      <family val="2"/>
      <scheme val="minor"/>
    </font>
    <font>
      <sz val="10"/>
      <color theme="0"/>
      <name val="Open Sans"/>
      <family val="2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37">
    <xf numFmtId="0" fontId="0" fillId="0" borderId="0" xfId="0"/>
    <xf numFmtId="0" fontId="3" fillId="0" borderId="0" xfId="0" applyFont="1"/>
    <xf numFmtId="164" fontId="3" fillId="0" borderId="0" xfId="0" applyNumberFormat="1" applyFont="1"/>
    <xf numFmtId="43" fontId="0" fillId="0" borderId="0" xfId="1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3" fillId="0" borderId="0" xfId="0" applyFont="1" applyAlignment="1">
      <alignment horizontal="center"/>
    </xf>
    <xf numFmtId="165" fontId="2" fillId="0" borderId="0" xfId="1" applyNumberFormat="1" applyFont="1"/>
    <xf numFmtId="0" fontId="6" fillId="0" borderId="0" xfId="0" applyFont="1"/>
    <xf numFmtId="166" fontId="6" fillId="0" borderId="0" xfId="2" applyNumberFormat="1" applyFont="1"/>
    <xf numFmtId="165" fontId="3" fillId="0" borderId="0" xfId="1" applyNumberFormat="1" applyFont="1" applyFill="1" applyBorder="1"/>
    <xf numFmtId="165" fontId="0" fillId="0" borderId="0" xfId="1" applyNumberFormat="1" applyFont="1" applyFill="1" applyBorder="1"/>
    <xf numFmtId="166" fontId="6" fillId="0" borderId="0" xfId="2" applyNumberFormat="1" applyFont="1" applyBorder="1"/>
    <xf numFmtId="165" fontId="0" fillId="0" borderId="0" xfId="1" applyNumberFormat="1" applyFont="1" applyBorder="1"/>
    <xf numFmtId="166" fontId="2" fillId="0" borderId="0" xfId="2" applyNumberFormat="1" applyFont="1" applyBorder="1"/>
    <xf numFmtId="0" fontId="3" fillId="0" borderId="8" xfId="0" applyFont="1" applyBorder="1" applyAlignment="1">
      <alignment horizontal="center"/>
    </xf>
    <xf numFmtId="165" fontId="3" fillId="0" borderId="8" xfId="1" applyNumberFormat="1" applyFont="1" applyBorder="1"/>
    <xf numFmtId="9" fontId="0" fillId="0" borderId="0" xfId="2" applyFont="1"/>
    <xf numFmtId="166" fontId="0" fillId="0" borderId="0" xfId="2" applyNumberFormat="1" applyFont="1"/>
    <xf numFmtId="0" fontId="3" fillId="0" borderId="7" xfId="0" applyFont="1" applyBorder="1" applyAlignment="1">
      <alignment horizontal="center"/>
    </xf>
    <xf numFmtId="165" fontId="3" fillId="0" borderId="7" xfId="1" applyNumberFormat="1" applyFont="1" applyBorder="1"/>
    <xf numFmtId="165" fontId="8" fillId="0" borderId="0" xfId="1" applyNumberFormat="1" applyFont="1" applyBorder="1"/>
    <xf numFmtId="165" fontId="3" fillId="0" borderId="0" xfId="1" applyNumberFormat="1" applyFont="1" applyBorder="1" applyAlignment="1">
      <alignment horizontal="center"/>
    </xf>
    <xf numFmtId="165" fontId="7" fillId="0" borderId="0" xfId="1" applyNumberFormat="1" applyFont="1" applyBorder="1"/>
    <xf numFmtId="166" fontId="0" fillId="0" borderId="0" xfId="2" applyNumberFormat="1" applyFont="1" applyBorder="1"/>
    <xf numFmtId="43" fontId="0" fillId="0" borderId="0" xfId="1" applyFont="1" applyBorder="1"/>
    <xf numFmtId="9" fontId="0" fillId="0" borderId="0" xfId="1" applyNumberFormat="1" applyFont="1"/>
    <xf numFmtId="166" fontId="6" fillId="0" borderId="9" xfId="2" applyNumberFormat="1" applyFont="1" applyBorder="1"/>
    <xf numFmtId="166" fontId="6" fillId="0" borderId="9" xfId="2" quotePrefix="1" applyNumberFormat="1" applyFont="1" applyBorder="1"/>
    <xf numFmtId="166" fontId="10" fillId="0" borderId="0" xfId="2" applyNumberFormat="1" applyFont="1"/>
    <xf numFmtId="165" fontId="12" fillId="0" borderId="0" xfId="2" applyNumberFormat="1" applyFont="1" applyBorder="1"/>
    <xf numFmtId="165" fontId="12" fillId="0" borderId="9" xfId="2" applyNumberFormat="1" applyFont="1" applyBorder="1"/>
    <xf numFmtId="166" fontId="2" fillId="0" borderId="9" xfId="2" applyNumberFormat="1" applyFont="1" applyBorder="1"/>
    <xf numFmtId="165" fontId="3" fillId="0" borderId="10" xfId="1" applyNumberFormat="1" applyFont="1" applyBorder="1"/>
    <xf numFmtId="165" fontId="7" fillId="0" borderId="0" xfId="1" applyNumberFormat="1" applyFont="1" applyFill="1" applyBorder="1"/>
    <xf numFmtId="165" fontId="7" fillId="0" borderId="9" xfId="1" applyNumberFormat="1" applyFont="1" applyFill="1" applyBorder="1"/>
    <xf numFmtId="165" fontId="2" fillId="0" borderId="0" xfId="1" applyNumberFormat="1" applyFont="1" applyFill="1" applyBorder="1"/>
    <xf numFmtId="165" fontId="2" fillId="0" borderId="9" xfId="1" applyNumberFormat="1" applyFont="1" applyFill="1" applyBorder="1"/>
    <xf numFmtId="165" fontId="0" fillId="0" borderId="9" xfId="1" applyNumberFormat="1" applyFont="1" applyBorder="1"/>
    <xf numFmtId="165" fontId="2" fillId="0" borderId="0" xfId="1" applyNumberFormat="1" applyFont="1" applyBorder="1"/>
    <xf numFmtId="165" fontId="3" fillId="0" borderId="0" xfId="1" applyNumberFormat="1" applyFont="1" applyBorder="1"/>
    <xf numFmtId="165" fontId="3" fillId="0" borderId="9" xfId="1" applyNumberFormat="1" applyFont="1" applyBorder="1"/>
    <xf numFmtId="165" fontId="3" fillId="0" borderId="0" xfId="1" quotePrefix="1" applyNumberFormat="1" applyFont="1" applyBorder="1"/>
    <xf numFmtId="43" fontId="0" fillId="0" borderId="9" xfId="1" applyFont="1" applyBorder="1"/>
    <xf numFmtId="166" fontId="0" fillId="0" borderId="9" xfId="2" applyNumberFormat="1" applyFont="1" applyBorder="1"/>
    <xf numFmtId="165" fontId="0" fillId="0" borderId="0" xfId="1" quotePrefix="1" applyNumberFormat="1" applyFont="1"/>
    <xf numFmtId="165" fontId="0" fillId="0" borderId="9" xfId="1" applyNumberFormat="1" applyFont="1" applyFill="1" applyBorder="1"/>
    <xf numFmtId="165" fontId="3" fillId="0" borderId="13" xfId="1" applyNumberFormat="1" applyFont="1" applyBorder="1"/>
    <xf numFmtId="9" fontId="0" fillId="0" borderId="0" xfId="2" applyFont="1" applyBorder="1"/>
    <xf numFmtId="9" fontId="0" fillId="0" borderId="9" xfId="2" applyFont="1" applyBorder="1"/>
    <xf numFmtId="165" fontId="7" fillId="0" borderId="9" xfId="1" applyNumberFormat="1" applyFont="1" applyBorder="1"/>
    <xf numFmtId="165" fontId="0" fillId="0" borderId="0" xfId="0" applyNumberFormat="1" applyAlignment="1">
      <alignment horizontal="center"/>
    </xf>
    <xf numFmtId="10" fontId="0" fillId="0" borderId="0" xfId="2" applyNumberFormat="1" applyFont="1"/>
    <xf numFmtId="0" fontId="0" fillId="0" borderId="0" xfId="0" applyAlignment="1">
      <alignment horizontal="left"/>
    </xf>
    <xf numFmtId="165" fontId="14" fillId="0" borderId="9" xfId="1" applyNumberFormat="1" applyFont="1" applyFill="1" applyBorder="1"/>
    <xf numFmtId="166" fontId="15" fillId="0" borderId="9" xfId="2" applyNumberFormat="1" applyFont="1" applyBorder="1"/>
    <xf numFmtId="165" fontId="14" fillId="0" borderId="0" xfId="1" applyNumberFormat="1" applyFont="1" applyFill="1" applyBorder="1"/>
    <xf numFmtId="166" fontId="15" fillId="0" borderId="0" xfId="2" applyNumberFormat="1" applyFont="1" applyBorder="1"/>
    <xf numFmtId="165" fontId="14" fillId="0" borderId="0" xfId="1" applyNumberFormat="1" applyFont="1" applyBorder="1"/>
    <xf numFmtId="166" fontId="6" fillId="0" borderId="0" xfId="2" quotePrefix="1" applyNumberFormat="1" applyFont="1" applyBorder="1"/>
    <xf numFmtId="166" fontId="8" fillId="0" borderId="0" xfId="2" applyNumberFormat="1" applyFont="1" applyBorder="1"/>
    <xf numFmtId="165" fontId="6" fillId="0" borderId="0" xfId="1" applyNumberFormat="1" applyFont="1" applyBorder="1"/>
    <xf numFmtId="165" fontId="12" fillId="0" borderId="0" xfId="1" applyNumberFormat="1" applyFont="1" applyBorder="1"/>
    <xf numFmtId="165" fontId="3" fillId="0" borderId="12" xfId="1" applyNumberFormat="1" applyFont="1" applyFill="1" applyBorder="1"/>
    <xf numFmtId="165" fontId="0" fillId="0" borderId="20" xfId="1" applyNumberFormat="1" applyFont="1" applyBorder="1"/>
    <xf numFmtId="165" fontId="0" fillId="0" borderId="17" xfId="1" applyNumberFormat="1" applyFont="1" applyBorder="1"/>
    <xf numFmtId="43" fontId="0" fillId="0" borderId="0" xfId="0" applyNumberFormat="1"/>
    <xf numFmtId="15" fontId="8" fillId="0" borderId="0" xfId="0" applyNumberFormat="1" applyFont="1" applyAlignment="1">
      <alignment horizontal="left"/>
    </xf>
    <xf numFmtId="167" fontId="16" fillId="0" borderId="0" xfId="0" applyNumberFormat="1" applyFont="1" applyAlignment="1">
      <alignment horizontal="center" wrapText="1"/>
    </xf>
    <xf numFmtId="167" fontId="16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0" fontId="0" fillId="0" borderId="1" xfId="0" applyBorder="1"/>
    <xf numFmtId="0" fontId="0" fillId="0" borderId="32" xfId="0" applyBorder="1"/>
    <xf numFmtId="167" fontId="18" fillId="3" borderId="22" xfId="0" applyNumberFormat="1" applyFont="1" applyFill="1" applyBorder="1" applyAlignment="1">
      <alignment horizontal="center"/>
    </xf>
    <xf numFmtId="167" fontId="18" fillId="3" borderId="23" xfId="0" applyNumberFormat="1" applyFont="1" applyFill="1" applyBorder="1" applyAlignment="1">
      <alignment horizontal="center"/>
    </xf>
    <xf numFmtId="167" fontId="18" fillId="3" borderId="24" xfId="0" applyNumberFormat="1" applyFont="1" applyFill="1" applyBorder="1" applyAlignment="1">
      <alignment horizontal="center"/>
    </xf>
    <xf numFmtId="0" fontId="18" fillId="3" borderId="33" xfId="0" applyFont="1" applyFill="1" applyBorder="1"/>
    <xf numFmtId="0" fontId="18" fillId="3" borderId="30" xfId="0" applyFont="1" applyFill="1" applyBorder="1"/>
    <xf numFmtId="0" fontId="19" fillId="2" borderId="32" xfId="0" applyFont="1" applyFill="1" applyBorder="1"/>
    <xf numFmtId="0" fontId="19" fillId="2" borderId="0" xfId="0" applyFont="1" applyFill="1"/>
    <xf numFmtId="169" fontId="24" fillId="2" borderId="19" xfId="0" applyNumberFormat="1" applyFont="1" applyFill="1" applyBorder="1" applyAlignment="1">
      <alignment horizontal="center"/>
    </xf>
    <xf numFmtId="167" fontId="24" fillId="2" borderId="25" xfId="0" applyNumberFormat="1" applyFont="1" applyFill="1" applyBorder="1" applyAlignment="1">
      <alignment horizontal="center"/>
    </xf>
    <xf numFmtId="167" fontId="24" fillId="2" borderId="30" xfId="0" applyNumberFormat="1" applyFont="1" applyFill="1" applyBorder="1" applyAlignment="1">
      <alignment horizontal="center"/>
    </xf>
    <xf numFmtId="0" fontId="0" fillId="0" borderId="3" xfId="0" applyBorder="1"/>
    <xf numFmtId="166" fontId="0" fillId="0" borderId="35" xfId="2" applyNumberFormat="1" applyFont="1" applyBorder="1"/>
    <xf numFmtId="165" fontId="0" fillId="0" borderId="26" xfId="1" applyNumberFormat="1" applyFont="1" applyBorder="1"/>
    <xf numFmtId="165" fontId="0" fillId="3" borderId="1" xfId="1" applyNumberFormat="1" applyFont="1" applyFill="1" applyBorder="1"/>
    <xf numFmtId="165" fontId="3" fillId="3" borderId="2" xfId="1" applyNumberFormat="1" applyFont="1" applyFill="1" applyBorder="1" applyAlignment="1">
      <alignment horizontal="right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3" fillId="3" borderId="4" xfId="1" applyNumberFormat="1" applyFont="1" applyFill="1" applyBorder="1"/>
    <xf numFmtId="164" fontId="3" fillId="3" borderId="5" xfId="1" applyNumberFormat="1" applyFont="1" applyFill="1" applyBorder="1"/>
    <xf numFmtId="164" fontId="3" fillId="3" borderId="6" xfId="1" applyNumberFormat="1" applyFont="1" applyFill="1" applyBorder="1"/>
    <xf numFmtId="0" fontId="25" fillId="2" borderId="0" xfId="0" applyFont="1" applyFill="1"/>
    <xf numFmtId="0" fontId="25" fillId="2" borderId="0" xfId="0" applyFont="1" applyFill="1" applyAlignment="1">
      <alignment horizontal="center"/>
    </xf>
    <xf numFmtId="165" fontId="25" fillId="2" borderId="0" xfId="1" applyNumberFormat="1" applyFont="1" applyFill="1"/>
    <xf numFmtId="0" fontId="26" fillId="2" borderId="0" xfId="0" applyFont="1" applyFill="1"/>
    <xf numFmtId="0" fontId="26" fillId="2" borderId="0" xfId="0" applyFont="1" applyFill="1" applyAlignment="1">
      <alignment horizontal="center"/>
    </xf>
    <xf numFmtId="166" fontId="26" fillId="2" borderId="0" xfId="2" applyNumberFormat="1" applyFont="1" applyFill="1"/>
    <xf numFmtId="165" fontId="26" fillId="2" borderId="0" xfId="1" applyNumberFormat="1" applyFont="1" applyFill="1"/>
    <xf numFmtId="165" fontId="26" fillId="2" borderId="0" xfId="1" applyNumberFormat="1" applyFont="1" applyFill="1" applyAlignment="1">
      <alignment horizontal="center"/>
    </xf>
    <xf numFmtId="168" fontId="24" fillId="2" borderId="25" xfId="0" applyNumberFormat="1" applyFont="1" applyFill="1" applyBorder="1" applyAlignment="1">
      <alignment horizontal="center"/>
    </xf>
    <xf numFmtId="168" fontId="24" fillId="2" borderId="26" xfId="0" applyNumberFormat="1" applyFont="1" applyFill="1" applyBorder="1" applyAlignment="1">
      <alignment horizontal="center"/>
    </xf>
    <xf numFmtId="168" fontId="24" fillId="2" borderId="27" xfId="0" applyNumberFormat="1" applyFont="1" applyFill="1" applyBorder="1" applyAlignment="1">
      <alignment horizontal="center"/>
    </xf>
    <xf numFmtId="0" fontId="0" fillId="0" borderId="25" xfId="0" applyBorder="1"/>
    <xf numFmtId="0" fontId="19" fillId="2" borderId="1" xfId="0" applyFont="1" applyFill="1" applyBorder="1"/>
    <xf numFmtId="0" fontId="3" fillId="3" borderId="26" xfId="0" applyFont="1" applyFill="1" applyBorder="1" applyAlignment="1">
      <alignment horizontal="center"/>
    </xf>
    <xf numFmtId="165" fontId="2" fillId="4" borderId="0" xfId="1" applyNumberFormat="1" applyFont="1" applyFill="1" applyBorder="1"/>
    <xf numFmtId="166" fontId="2" fillId="4" borderId="0" xfId="2" applyNumberFormat="1" applyFont="1" applyFill="1" applyBorder="1"/>
    <xf numFmtId="166" fontId="2" fillId="4" borderId="35" xfId="2" applyNumberFormat="1" applyFont="1" applyFill="1" applyBorder="1"/>
    <xf numFmtId="2" fontId="2" fillId="4" borderId="35" xfId="0" applyNumberFormat="1" applyFont="1" applyFill="1" applyBorder="1"/>
    <xf numFmtId="165" fontId="2" fillId="4" borderId="8" xfId="1" applyNumberFormat="1" applyFont="1" applyFill="1" applyBorder="1"/>
    <xf numFmtId="2" fontId="2" fillId="4" borderId="8" xfId="0" applyNumberFormat="1" applyFont="1" applyFill="1" applyBorder="1"/>
    <xf numFmtId="166" fontId="2" fillId="4" borderId="26" xfId="2" applyNumberFormat="1" applyFont="1" applyFill="1" applyBorder="1"/>
    <xf numFmtId="165" fontId="2" fillId="4" borderId="26" xfId="1" applyNumberFormat="1" applyFont="1" applyFill="1" applyBorder="1"/>
    <xf numFmtId="2" fontId="2" fillId="4" borderId="26" xfId="0" applyNumberFormat="1" applyFont="1" applyFill="1" applyBorder="1"/>
    <xf numFmtId="2" fontId="2" fillId="4" borderId="27" xfId="0" applyNumberFormat="1" applyFont="1" applyFill="1" applyBorder="1"/>
    <xf numFmtId="2" fontId="2" fillId="4" borderId="38" xfId="0" applyNumberFormat="1" applyFont="1" applyFill="1" applyBorder="1"/>
    <xf numFmtId="2" fontId="2" fillId="4" borderId="39" xfId="0" applyNumberFormat="1" applyFont="1" applyFill="1" applyBorder="1"/>
    <xf numFmtId="2" fontId="3" fillId="3" borderId="36" xfId="0" applyNumberFormat="1" applyFont="1" applyFill="1" applyBorder="1"/>
    <xf numFmtId="2" fontId="2" fillId="4" borderId="34" xfId="0" applyNumberFormat="1" applyFont="1" applyFill="1" applyBorder="1"/>
    <xf numFmtId="166" fontId="2" fillId="4" borderId="8" xfId="2" applyNumberFormat="1" applyFont="1" applyFill="1" applyBorder="1"/>
    <xf numFmtId="0" fontId="25" fillId="2" borderId="40" xfId="0" applyFont="1" applyFill="1" applyBorder="1"/>
    <xf numFmtId="0" fontId="19" fillId="2" borderId="0" xfId="0" applyFont="1" applyFill="1" applyAlignment="1">
      <alignment horizontal="left"/>
    </xf>
    <xf numFmtId="0" fontId="20" fillId="2" borderId="0" xfId="3" applyFont="1" applyFill="1"/>
    <xf numFmtId="0" fontId="21" fillId="2" borderId="0" xfId="3" applyFont="1" applyFill="1"/>
    <xf numFmtId="0" fontId="22" fillId="2" borderId="0" xfId="3" applyFont="1" applyFill="1"/>
    <xf numFmtId="0" fontId="23" fillId="2" borderId="0" xfId="0" applyFont="1" applyFill="1"/>
    <xf numFmtId="0" fontId="3" fillId="3" borderId="0" xfId="0" applyFont="1" applyFill="1"/>
    <xf numFmtId="165" fontId="19" fillId="2" borderId="35" xfId="0" applyNumberFormat="1" applyFont="1" applyFill="1" applyBorder="1" applyAlignment="1">
      <alignment horizontal="right"/>
    </xf>
    <xf numFmtId="168" fontId="19" fillId="2" borderId="35" xfId="0" applyNumberFormat="1" applyFont="1" applyFill="1" applyBorder="1" applyAlignment="1">
      <alignment horizontal="right"/>
    </xf>
    <xf numFmtId="1" fontId="19" fillId="2" borderId="35" xfId="0" applyNumberFormat="1" applyFont="1" applyFill="1" applyBorder="1" applyAlignment="1">
      <alignment horizontal="right"/>
    </xf>
    <xf numFmtId="0" fontId="19" fillId="2" borderId="35" xfId="0" applyFont="1" applyFill="1" applyBorder="1" applyAlignment="1">
      <alignment horizontal="right"/>
    </xf>
    <xf numFmtId="165" fontId="19" fillId="2" borderId="35" xfId="1" applyNumberFormat="1" applyFont="1" applyFill="1" applyBorder="1" applyAlignment="1">
      <alignment horizontal="right"/>
    </xf>
    <xf numFmtId="43" fontId="3" fillId="3" borderId="35" xfId="0" applyNumberFormat="1" applyFont="1" applyFill="1" applyBorder="1" applyAlignment="1">
      <alignment horizontal="right"/>
    </xf>
    <xf numFmtId="9" fontId="20" fillId="2" borderId="27" xfId="0" applyNumberFormat="1" applyFont="1" applyFill="1" applyBorder="1" applyAlignment="1">
      <alignment horizontal="right"/>
    </xf>
    <xf numFmtId="10" fontId="19" fillId="2" borderId="3" xfId="2" applyNumberFormat="1" applyFont="1" applyFill="1" applyBorder="1" applyAlignment="1">
      <alignment horizontal="right"/>
    </xf>
    <xf numFmtId="166" fontId="19" fillId="2" borderId="35" xfId="2" applyNumberFormat="1" applyFont="1" applyFill="1" applyBorder="1" applyAlignment="1">
      <alignment horizontal="right"/>
    </xf>
    <xf numFmtId="43" fontId="3" fillId="3" borderId="27" xfId="0" applyNumberFormat="1" applyFont="1" applyFill="1" applyBorder="1" applyAlignment="1">
      <alignment horizontal="right"/>
    </xf>
    <xf numFmtId="0" fontId="3" fillId="3" borderId="25" xfId="0" applyFont="1" applyFill="1" applyBorder="1"/>
    <xf numFmtId="0" fontId="3" fillId="3" borderId="27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35" xfId="0" applyBorder="1"/>
    <xf numFmtId="10" fontId="0" fillId="0" borderId="0" xfId="2" applyNumberFormat="1" applyFont="1" applyBorder="1"/>
    <xf numFmtId="10" fontId="0" fillId="0" borderId="35" xfId="2" applyNumberFormat="1" applyFont="1" applyBorder="1"/>
    <xf numFmtId="4" fontId="13" fillId="0" borderId="0" xfId="0" applyNumberFormat="1" applyFont="1"/>
    <xf numFmtId="0" fontId="0" fillId="0" borderId="26" xfId="0" applyBorder="1"/>
    <xf numFmtId="10" fontId="0" fillId="0" borderId="27" xfId="2" applyNumberFormat="1" applyFont="1" applyBorder="1"/>
    <xf numFmtId="0" fontId="0" fillId="0" borderId="28" xfId="0" applyBorder="1" applyAlignment="1">
      <alignment horizontal="left"/>
    </xf>
    <xf numFmtId="15" fontId="8" fillId="0" borderId="29" xfId="0" applyNumberFormat="1" applyFont="1" applyBorder="1" applyAlignment="1">
      <alignment horizontal="left"/>
    </xf>
    <xf numFmtId="15" fontId="8" fillId="0" borderId="30" xfId="0" applyNumberFormat="1" applyFont="1" applyBorder="1" applyAlignment="1">
      <alignment horizontal="left"/>
    </xf>
    <xf numFmtId="0" fontId="0" fillId="0" borderId="22" xfId="0" applyBorder="1" applyAlignment="1">
      <alignment horizontal="center"/>
    </xf>
    <xf numFmtId="43" fontId="8" fillId="0" borderId="32" xfId="1" applyFont="1" applyBorder="1"/>
    <xf numFmtId="4" fontId="0" fillId="0" borderId="32" xfId="0" applyNumberFormat="1" applyBorder="1"/>
    <xf numFmtId="4" fontId="0" fillId="0" borderId="25" xfId="0" applyNumberFormat="1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3" fillId="3" borderId="31" xfId="0" applyFont="1" applyFill="1" applyBorder="1"/>
    <xf numFmtId="0" fontId="3" fillId="3" borderId="30" xfId="0" applyFont="1" applyFill="1" applyBorder="1"/>
    <xf numFmtId="0" fontId="3" fillId="3" borderId="14" xfId="0" applyFont="1" applyFill="1" applyBorder="1" applyAlignment="1">
      <alignment horizontal="right"/>
    </xf>
    <xf numFmtId="0" fontId="3" fillId="3" borderId="15" xfId="0" applyFont="1" applyFill="1" applyBorder="1"/>
    <xf numFmtId="0" fontId="3" fillId="3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wrapText="1"/>
    </xf>
    <xf numFmtId="0" fontId="3" fillId="3" borderId="19" xfId="0" applyFont="1" applyFill="1" applyBorder="1"/>
    <xf numFmtId="43" fontId="23" fillId="2" borderId="26" xfId="1" applyFont="1" applyFill="1" applyBorder="1" applyAlignment="1">
      <alignment horizontal="center"/>
    </xf>
    <xf numFmtId="0" fontId="23" fillId="2" borderId="26" xfId="0" applyFont="1" applyFill="1" applyBorder="1"/>
    <xf numFmtId="0" fontId="23" fillId="2" borderId="26" xfId="0" applyFont="1" applyFill="1" applyBorder="1" applyAlignment="1">
      <alignment horizontal="center"/>
    </xf>
    <xf numFmtId="0" fontId="23" fillId="2" borderId="27" xfId="0" applyFont="1" applyFill="1" applyBorder="1"/>
    <xf numFmtId="43" fontId="3" fillId="0" borderId="36" xfId="0" applyNumberFormat="1" applyFont="1" applyBorder="1"/>
    <xf numFmtId="165" fontId="3" fillId="0" borderId="36" xfId="1" applyNumberFormat="1" applyFont="1" applyBorder="1"/>
    <xf numFmtId="43" fontId="0" fillId="0" borderId="36" xfId="0" applyNumberFormat="1" applyBorder="1"/>
    <xf numFmtId="165" fontId="0" fillId="0" borderId="36" xfId="1" applyNumberFormat="1" applyFont="1" applyBorder="1"/>
    <xf numFmtId="0" fontId="3" fillId="0" borderId="41" xfId="0" applyFont="1" applyBorder="1"/>
    <xf numFmtId="0" fontId="3" fillId="0" borderId="42" xfId="0" applyFont="1" applyBorder="1"/>
    <xf numFmtId="0" fontId="3" fillId="0" borderId="4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 applyAlignment="1">
      <alignment horizontal="left"/>
    </xf>
    <xf numFmtId="0" fontId="3" fillId="0" borderId="45" xfId="0" applyFont="1" applyBorder="1"/>
    <xf numFmtId="0" fontId="0" fillId="0" borderId="44" xfId="0" applyBorder="1" applyAlignment="1">
      <alignment horizontal="left"/>
    </xf>
    <xf numFmtId="0" fontId="0" fillId="0" borderId="45" xfId="0" applyBorder="1"/>
    <xf numFmtId="0" fontId="0" fillId="0" borderId="46" xfId="0" applyBorder="1" applyAlignment="1">
      <alignment horizontal="left"/>
    </xf>
    <xf numFmtId="43" fontId="0" fillId="0" borderId="47" xfId="0" applyNumberFormat="1" applyBorder="1"/>
    <xf numFmtId="165" fontId="0" fillId="0" borderId="47" xfId="1" applyNumberFormat="1" applyFont="1" applyBorder="1"/>
    <xf numFmtId="165" fontId="8" fillId="0" borderId="47" xfId="1" applyNumberFormat="1" applyFont="1" applyBorder="1"/>
    <xf numFmtId="0" fontId="0" fillId="0" borderId="48" xfId="0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43" fontId="0" fillId="0" borderId="26" xfId="0" applyNumberFormat="1" applyBorder="1"/>
    <xf numFmtId="0" fontId="3" fillId="0" borderId="49" xfId="0" applyFont="1" applyBorder="1"/>
    <xf numFmtId="0" fontId="0" fillId="0" borderId="50" xfId="0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10" fontId="19" fillId="2" borderId="0" xfId="0" applyNumberFormat="1" applyFont="1" applyFill="1" applyAlignment="1">
      <alignment horizontal="center"/>
    </xf>
    <xf numFmtId="15" fontId="19" fillId="2" borderId="0" xfId="0" applyNumberFormat="1" applyFont="1" applyFill="1"/>
    <xf numFmtId="43" fontId="19" fillId="2" borderId="0" xfId="1" applyFont="1" applyFill="1"/>
    <xf numFmtId="10" fontId="19" fillId="2" borderId="0" xfId="0" applyNumberFormat="1" applyFont="1" applyFill="1"/>
    <xf numFmtId="10" fontId="23" fillId="2" borderId="0" xfId="0" applyNumberFormat="1" applyFont="1" applyFill="1"/>
    <xf numFmtId="10" fontId="23" fillId="2" borderId="0" xfId="2" applyNumberFormat="1" applyFont="1" applyFill="1"/>
    <xf numFmtId="0" fontId="4" fillId="3" borderId="3" xfId="0" applyFont="1" applyFill="1" applyBorder="1" applyAlignment="1">
      <alignment horizontal="center"/>
    </xf>
    <xf numFmtId="164" fontId="4" fillId="3" borderId="51" xfId="1" applyNumberFormat="1" applyFont="1" applyFill="1" applyBorder="1"/>
    <xf numFmtId="164" fontId="4" fillId="3" borderId="7" xfId="1" applyNumberFormat="1" applyFont="1" applyFill="1" applyBorder="1"/>
    <xf numFmtId="164" fontId="4" fillId="3" borderId="52" xfId="1" applyNumberFormat="1" applyFont="1" applyFill="1" applyBorder="1"/>
    <xf numFmtId="165" fontId="3" fillId="0" borderId="2" xfId="1" applyNumberFormat="1" applyFont="1" applyFill="1" applyBorder="1"/>
    <xf numFmtId="165" fontId="3" fillId="0" borderId="3" xfId="1" applyNumberFormat="1" applyFont="1" applyFill="1" applyBorder="1"/>
    <xf numFmtId="0" fontId="3" fillId="0" borderId="32" xfId="0" applyFont="1" applyBorder="1"/>
    <xf numFmtId="165" fontId="0" fillId="0" borderId="35" xfId="1" applyNumberFormat="1" applyFont="1" applyFill="1" applyBorder="1"/>
    <xf numFmtId="165" fontId="0" fillId="0" borderId="35" xfId="1" applyNumberFormat="1" applyFont="1" applyBorder="1"/>
    <xf numFmtId="165" fontId="3" fillId="0" borderId="35" xfId="1" applyNumberFormat="1" applyFont="1" applyFill="1" applyBorder="1"/>
    <xf numFmtId="165" fontId="3" fillId="0" borderId="35" xfId="1" applyNumberFormat="1" applyFont="1" applyBorder="1"/>
    <xf numFmtId="165" fontId="2" fillId="0" borderId="35" xfId="1" applyNumberFormat="1" applyFont="1" applyBorder="1"/>
    <xf numFmtId="165" fontId="0" fillId="0" borderId="27" xfId="1" applyNumberFormat="1" applyFont="1" applyBorder="1"/>
    <xf numFmtId="0" fontId="4" fillId="3" borderId="27" xfId="0" applyFont="1" applyFill="1" applyBorder="1" applyAlignment="1">
      <alignment horizontal="center"/>
    </xf>
    <xf numFmtId="164" fontId="3" fillId="3" borderId="11" xfId="1" applyNumberFormat="1" applyFont="1" applyFill="1" applyBorder="1"/>
    <xf numFmtId="164" fontId="3" fillId="0" borderId="3" xfId="0" applyNumberFormat="1" applyFont="1" applyBorder="1"/>
    <xf numFmtId="0" fontId="9" fillId="0" borderId="32" xfId="0" applyFont="1" applyBorder="1"/>
    <xf numFmtId="165" fontId="7" fillId="0" borderId="35" xfId="1" applyNumberFormat="1" applyFont="1" applyBorder="1"/>
    <xf numFmtId="0" fontId="3" fillId="0" borderId="21" xfId="0" applyFont="1" applyBorder="1"/>
    <xf numFmtId="165" fontId="3" fillId="0" borderId="34" xfId="1" applyNumberFormat="1" applyFont="1" applyBorder="1"/>
    <xf numFmtId="0" fontId="3" fillId="0" borderId="35" xfId="0" applyFont="1" applyBorder="1"/>
    <xf numFmtId="165" fontId="7" fillId="0" borderId="35" xfId="1" applyNumberFormat="1" applyFont="1" applyFill="1" applyBorder="1"/>
    <xf numFmtId="0" fontId="0" fillId="0" borderId="32" xfId="0" applyBorder="1" applyAlignment="1">
      <alignment horizontal="left" indent="1"/>
    </xf>
    <xf numFmtId="9" fontId="0" fillId="0" borderId="35" xfId="2" applyFont="1" applyBorder="1"/>
    <xf numFmtId="0" fontId="3" fillId="0" borderId="32" xfId="0" applyFont="1" applyBorder="1" applyAlignment="1">
      <alignment horizontal="left"/>
    </xf>
    <xf numFmtId="9" fontId="0" fillId="0" borderId="26" xfId="2" applyFont="1" applyBorder="1"/>
    <xf numFmtId="9" fontId="0" fillId="0" borderId="53" xfId="2" applyFont="1" applyBorder="1"/>
    <xf numFmtId="9" fontId="0" fillId="0" borderId="27" xfId="2" applyFont="1" applyBorder="1"/>
    <xf numFmtId="9" fontId="0" fillId="0" borderId="0" xfId="1" applyNumberFormat="1" applyFont="1" applyBorder="1"/>
    <xf numFmtId="0" fontId="3" fillId="0" borderId="51" xfId="0" applyFont="1" applyBorder="1"/>
    <xf numFmtId="165" fontId="3" fillId="0" borderId="52" xfId="1" applyNumberFormat="1" applyFont="1" applyBorder="1"/>
    <xf numFmtId="43" fontId="0" fillId="0" borderId="35" xfId="1" applyFont="1" applyBorder="1"/>
    <xf numFmtId="165" fontId="2" fillId="0" borderId="35" xfId="1" applyNumberFormat="1" applyFont="1" applyFill="1" applyBorder="1"/>
    <xf numFmtId="165" fontId="0" fillId="0" borderId="54" xfId="1" applyNumberFormat="1" applyFont="1" applyBorder="1"/>
    <xf numFmtId="0" fontId="0" fillId="0" borderId="0" xfId="1" applyNumberFormat="1" applyFont="1" applyBorder="1"/>
    <xf numFmtId="0" fontId="0" fillId="0" borderId="35" xfId="1" applyNumberFormat="1" applyFont="1" applyBorder="1"/>
    <xf numFmtId="165" fontId="3" fillId="0" borderId="35" xfId="1" quotePrefix="1" applyNumberFormat="1" applyFont="1" applyBorder="1"/>
    <xf numFmtId="165" fontId="2" fillId="0" borderId="9" xfId="1" applyNumberFormat="1" applyFont="1" applyBorder="1"/>
    <xf numFmtId="165" fontId="3" fillId="0" borderId="9" xfId="1" quotePrefix="1" applyNumberFormat="1" applyFont="1" applyBorder="1"/>
    <xf numFmtId="0" fontId="5" fillId="0" borderId="32" xfId="0" applyFont="1" applyBorder="1"/>
    <xf numFmtId="0" fontId="6" fillId="0" borderId="32" xfId="0" applyFont="1" applyBorder="1"/>
    <xf numFmtId="0" fontId="6" fillId="0" borderId="35" xfId="0" applyFont="1" applyBorder="1"/>
    <xf numFmtId="166" fontId="6" fillId="0" borderId="0" xfId="0" applyNumberFormat="1" applyFont="1"/>
    <xf numFmtId="166" fontId="6" fillId="0" borderId="35" xfId="2" applyNumberFormat="1" applyFont="1" applyBorder="1"/>
    <xf numFmtId="0" fontId="11" fillId="0" borderId="32" xfId="0" applyFont="1" applyBorder="1"/>
    <xf numFmtId="165" fontId="12" fillId="0" borderId="35" xfId="2" applyNumberFormat="1" applyFont="1" applyBorder="1"/>
    <xf numFmtId="165" fontId="2" fillId="0" borderId="26" xfId="1" applyNumberFormat="1" applyFont="1" applyBorder="1"/>
    <xf numFmtId="166" fontId="6" fillId="0" borderId="26" xfId="2" applyNumberFormat="1" applyFont="1" applyBorder="1"/>
    <xf numFmtId="166" fontId="6" fillId="0" borderId="11" xfId="2" applyNumberFormat="1" applyFont="1" applyBorder="1"/>
    <xf numFmtId="166" fontId="6" fillId="0" borderId="27" xfId="2" applyNumberFormat="1" applyFont="1" applyBorder="1"/>
    <xf numFmtId="0" fontId="3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3" fillId="4" borderId="3" xfId="0" applyNumberFormat="1" applyFont="1" applyFill="1" applyBorder="1"/>
    <xf numFmtId="0" fontId="0" fillId="4" borderId="0" xfId="0" applyFill="1" applyAlignment="1">
      <alignment horizontal="center"/>
    </xf>
    <xf numFmtId="0" fontId="0" fillId="4" borderId="35" xfId="0" applyFill="1" applyBorder="1"/>
    <xf numFmtId="10" fontId="0" fillId="4" borderId="0" xfId="0" applyNumberFormat="1" applyFill="1" applyAlignment="1">
      <alignment horizontal="center"/>
    </xf>
    <xf numFmtId="0" fontId="3" fillId="4" borderId="0" xfId="0" applyFont="1" applyFill="1" applyAlignment="1">
      <alignment horizontal="right"/>
    </xf>
    <xf numFmtId="0" fontId="3" fillId="4" borderId="35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35" xfId="0" applyFill="1" applyBorder="1" applyAlignment="1">
      <alignment horizontal="center"/>
    </xf>
    <xf numFmtId="43" fontId="0" fillId="4" borderId="0" xfId="1" applyFont="1" applyFill="1" applyBorder="1" applyAlignment="1">
      <alignment horizontal="right"/>
    </xf>
    <xf numFmtId="10" fontId="0" fillId="4" borderId="0" xfId="2" applyNumberFormat="1" applyFont="1" applyFill="1" applyBorder="1" applyAlignment="1">
      <alignment horizontal="right"/>
    </xf>
    <xf numFmtId="43" fontId="0" fillId="4" borderId="0" xfId="2" applyNumberFormat="1" applyFont="1" applyFill="1" applyBorder="1" applyAlignment="1">
      <alignment horizontal="right"/>
    </xf>
    <xf numFmtId="10" fontId="3" fillId="4" borderId="26" xfId="2" applyNumberFormat="1" applyFont="1" applyFill="1" applyBorder="1" applyAlignment="1">
      <alignment horizontal="right"/>
    </xf>
    <xf numFmtId="0" fontId="3" fillId="4" borderId="27" xfId="0" applyFont="1" applyFill="1" applyBorder="1" applyAlignment="1">
      <alignment horizontal="center"/>
    </xf>
    <xf numFmtId="0" fontId="3" fillId="4" borderId="49" xfId="0" applyFont="1" applyFill="1" applyBorder="1"/>
    <xf numFmtId="0" fontId="0" fillId="4" borderId="55" xfId="0" applyFill="1" applyBorder="1"/>
    <xf numFmtId="0" fontId="3" fillId="4" borderId="55" xfId="0" applyFont="1" applyFill="1" applyBorder="1" applyAlignment="1">
      <alignment horizontal="left"/>
    </xf>
    <xf numFmtId="15" fontId="0" fillId="4" borderId="55" xfId="0" applyNumberFormat="1" applyFill="1" applyBorder="1" applyAlignment="1">
      <alignment horizontal="left"/>
    </xf>
    <xf numFmtId="0" fontId="0" fillId="4" borderId="55" xfId="0" applyFill="1" applyBorder="1" applyAlignment="1">
      <alignment horizontal="left"/>
    </xf>
    <xf numFmtId="0" fontId="3" fillId="4" borderId="50" xfId="0" applyFont="1" applyFill="1" applyBorder="1" applyAlignment="1">
      <alignment horizontal="left"/>
    </xf>
    <xf numFmtId="165" fontId="0" fillId="0" borderId="37" xfId="1" applyNumberFormat="1" applyFont="1" applyBorder="1"/>
    <xf numFmtId="43" fontId="0" fillId="0" borderId="37" xfId="0" applyNumberFormat="1" applyBorder="1"/>
    <xf numFmtId="0" fontId="0" fillId="0" borderId="49" xfId="0" applyBorder="1" applyAlignment="1">
      <alignment wrapText="1"/>
    </xf>
    <xf numFmtId="43" fontId="0" fillId="0" borderId="56" xfId="0" applyNumberFormat="1" applyBorder="1"/>
    <xf numFmtId="43" fontId="0" fillId="0" borderId="5" xfId="0" applyNumberFormat="1" applyBorder="1" applyAlignment="1">
      <alignment horizontal="center"/>
    </xf>
    <xf numFmtId="165" fontId="0" fillId="0" borderId="5" xfId="0" applyNumberFormat="1" applyBorder="1"/>
    <xf numFmtId="43" fontId="0" fillId="3" borderId="5" xfId="0" applyNumberFormat="1" applyFill="1" applyBorder="1"/>
    <xf numFmtId="0" fontId="0" fillId="0" borderId="6" xfId="0" applyBorder="1"/>
    <xf numFmtId="0" fontId="0" fillId="0" borderId="49" xfId="0" applyBorder="1" applyAlignment="1">
      <alignment horizontal="left"/>
    </xf>
    <xf numFmtId="165" fontId="19" fillId="2" borderId="0" xfId="1" applyNumberFormat="1" applyFont="1" applyFill="1"/>
    <xf numFmtId="164" fontId="27" fillId="3" borderId="4" xfId="1" applyNumberFormat="1" applyFont="1" applyFill="1" applyBorder="1"/>
    <xf numFmtId="165" fontId="14" fillId="0" borderId="35" xfId="1" applyNumberFormat="1" applyFont="1" applyBorder="1"/>
    <xf numFmtId="166" fontId="14" fillId="0" borderId="0" xfId="2" applyNumberFormat="1" applyFont="1" applyBorder="1"/>
    <xf numFmtId="166" fontId="14" fillId="0" borderId="35" xfId="2" applyNumberFormat="1" applyFont="1" applyBorder="1"/>
    <xf numFmtId="9" fontId="15" fillId="0" borderId="35" xfId="2" applyFont="1" applyBorder="1"/>
    <xf numFmtId="166" fontId="15" fillId="0" borderId="35" xfId="2" applyNumberFormat="1" applyFont="1" applyBorder="1"/>
    <xf numFmtId="165" fontId="14" fillId="0" borderId="9" xfId="1" applyNumberFormat="1" applyFont="1" applyBorder="1"/>
    <xf numFmtId="43" fontId="14" fillId="0" borderId="0" xfId="1" applyFont="1" applyBorder="1"/>
    <xf numFmtId="43" fontId="14" fillId="0" borderId="9" xfId="1" applyFont="1" applyBorder="1"/>
    <xf numFmtId="164" fontId="28" fillId="3" borderId="4" xfId="1" applyNumberFormat="1" applyFont="1" applyFill="1" applyBorder="1"/>
    <xf numFmtId="2" fontId="14" fillId="0" borderId="35" xfId="2" applyNumberFormat="1" applyFont="1" applyBorder="1"/>
    <xf numFmtId="165" fontId="14" fillId="0" borderId="0" xfId="0" applyNumberFormat="1" applyFont="1"/>
    <xf numFmtId="165" fontId="14" fillId="0" borderId="26" xfId="1" applyNumberFormat="1" applyFont="1" applyBorder="1"/>
    <xf numFmtId="165" fontId="14" fillId="0" borderId="27" xfId="1" applyNumberFormat="1" applyFont="1" applyBorder="1"/>
    <xf numFmtId="165" fontId="3" fillId="0" borderId="0" xfId="0" applyNumberFormat="1" applyFont="1"/>
    <xf numFmtId="165" fontId="8" fillId="0" borderId="9" xfId="1" applyNumberFormat="1" applyFont="1" applyBorder="1"/>
    <xf numFmtId="10" fontId="2" fillId="4" borderId="38" xfId="2" applyNumberFormat="1" applyFont="1" applyFill="1" applyBorder="1"/>
    <xf numFmtId="10" fontId="2" fillId="4" borderId="0" xfId="2" applyNumberFormat="1" applyFont="1" applyFill="1" applyBorder="1"/>
    <xf numFmtId="2" fontId="2" fillId="4" borderId="0" xfId="0" applyNumberFormat="1" applyFont="1" applyFill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7" fontId="18" fillId="4" borderId="22" xfId="0" applyNumberFormat="1" applyFont="1" applyFill="1" applyBorder="1" applyAlignment="1">
      <alignment horizontal="center" wrapText="1"/>
    </xf>
    <xf numFmtId="167" fontId="18" fillId="4" borderId="23" xfId="0" applyNumberFormat="1" applyFont="1" applyFill="1" applyBorder="1" applyAlignment="1">
      <alignment horizontal="center" wrapText="1"/>
    </xf>
    <xf numFmtId="167" fontId="18" fillId="4" borderId="24" xfId="0" applyNumberFormat="1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/>
    </xf>
    <xf numFmtId="165" fontId="3" fillId="3" borderId="32" xfId="1" applyNumberFormat="1" applyFont="1" applyFill="1" applyBorder="1" applyAlignment="1">
      <alignment horizontal="center" vertical="center"/>
    </xf>
    <xf numFmtId="165" fontId="3" fillId="3" borderId="25" xfId="1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165" fontId="0" fillId="0" borderId="0" xfId="0" applyNumberFormat="1"/>
  </cellXfs>
  <cellStyles count="4">
    <cellStyle name="Comma" xfId="1" builtinId="3"/>
    <cellStyle name="Normal" xfId="0" builtinId="0"/>
    <cellStyle name="Normal 3" xfId="3" xr:uid="{1B782D01-9273-F944-A6AA-DEDF4D01F299}"/>
    <cellStyle name="Per cent" xfId="2" builtinId="5"/>
  </cellStyles>
  <dxfs count="0"/>
  <tableStyles count="0" defaultTableStyle="TableStyleMedium2" defaultPivotStyle="PivotStyleLight16"/>
  <colors>
    <mruColors>
      <color rgb="FFFF4B00"/>
      <color rgb="FFD2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F66FA-9034-8E4E-9720-EA888646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C7838-BF87-5D42-B378-3AEA58E4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754C0-46E6-B447-9C79-F3E07A629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6AD56-A882-1448-80DD-C938C0AC0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C3B95-81B6-854A-801D-81CF3DCD3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AAEAAA-0054-1E4E-9425-D0FC7F1C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0</xdr:row>
      <xdr:rowOff>50800</xdr:rowOff>
    </xdr:from>
    <xdr:to>
      <xdr:col>0</xdr:col>
      <xdr:colOff>2033341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7D000-C516-BE44-BF4E-621022A3E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FAFDC-A1A2-2943-90F0-5AD2141A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50800</xdr:rowOff>
    </xdr:from>
    <xdr:to>
      <xdr:col>0</xdr:col>
      <xdr:colOff>2046041</xdr:colOff>
      <xdr:row>0</xdr:row>
      <xdr:rowOff>622300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95813A-EFE9-C747-DA57-CCE1D0636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800"/>
          <a:ext cx="181744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258-C037-4DD9-93C6-292F97FF95C2}">
  <sheetPr>
    <tabColor theme="5" tint="0.59999389629810485"/>
  </sheetPr>
  <dimension ref="A1:L44"/>
  <sheetViews>
    <sheetView showGridLines="0" topLeftCell="A14" zoomScaleNormal="100" workbookViewId="0">
      <selection activeCell="L14" sqref="L14"/>
    </sheetView>
  </sheetViews>
  <sheetFormatPr baseColWidth="10" defaultColWidth="8.83203125" defaultRowHeight="15"/>
  <cols>
    <col min="1" max="1" width="42.5" customWidth="1"/>
    <col min="2" max="3" width="11.5" style="4" customWidth="1"/>
    <col min="4" max="8" width="11.5" style="5" customWidth="1"/>
    <col min="9" max="9" width="11.5" customWidth="1"/>
    <col min="10" max="10" width="10" customWidth="1"/>
    <col min="11" max="13" width="11.6640625" bestFit="1" customWidth="1"/>
  </cols>
  <sheetData>
    <row r="1" spans="1:9" ht="50" customHeight="1" thickBot="1">
      <c r="A1" s="79"/>
      <c r="B1" s="197"/>
      <c r="C1" s="197"/>
      <c r="D1" s="79">
        <v>1</v>
      </c>
      <c r="E1" s="79">
        <v>2</v>
      </c>
      <c r="F1" s="79">
        <v>3</v>
      </c>
      <c r="G1" s="79">
        <v>4</v>
      </c>
      <c r="H1" s="79">
        <v>5</v>
      </c>
    </row>
    <row r="2" spans="1:9">
      <c r="A2" s="314" t="s">
        <v>1</v>
      </c>
      <c r="B2" s="89"/>
      <c r="C2" s="90"/>
      <c r="D2" s="312" t="s">
        <v>3</v>
      </c>
      <c r="E2" s="312"/>
      <c r="F2" s="312"/>
      <c r="G2" s="312"/>
      <c r="H2" s="313"/>
    </row>
    <row r="3" spans="1:9" ht="16" thickBot="1">
      <c r="A3" s="315"/>
      <c r="B3" s="107" t="s">
        <v>2</v>
      </c>
      <c r="C3" s="141"/>
      <c r="D3" s="92">
        <v>2025</v>
      </c>
      <c r="E3" s="92">
        <f>D3+1</f>
        <v>2026</v>
      </c>
      <c r="F3" s="92">
        <f t="shared" ref="F3:H3" si="0">E3+1</f>
        <v>2027</v>
      </c>
      <c r="G3" s="92">
        <f t="shared" si="0"/>
        <v>2028</v>
      </c>
      <c r="H3" s="93">
        <f t="shared" si="0"/>
        <v>2029</v>
      </c>
    </row>
    <row r="4" spans="1:9">
      <c r="A4" s="123" t="s">
        <v>155</v>
      </c>
      <c r="B4" s="95"/>
      <c r="C4" s="95"/>
      <c r="D4" s="96">
        <f>'P&amp;L'!H21</f>
        <v>15298.756117490353</v>
      </c>
      <c r="E4" s="96">
        <f>'P&amp;L'!I21</f>
        <v>17028.3660178272</v>
      </c>
      <c r="F4" s="96">
        <f>'P&amp;L'!J21</f>
        <v>18844.467956881777</v>
      </c>
      <c r="G4" s="96">
        <f>'P&amp;L'!K21</f>
        <v>20720.041565389343</v>
      </c>
      <c r="H4" s="96">
        <f>'P&amp;L'!L21</f>
        <v>22622.631665707064</v>
      </c>
      <c r="I4" s="2"/>
    </row>
    <row r="5" spans="1:9">
      <c r="A5" s="97" t="s">
        <v>157</v>
      </c>
      <c r="B5" s="98"/>
      <c r="C5" s="98"/>
      <c r="D5" s="99">
        <f>'P&amp;L'!H52</f>
        <v>0.18930473917411469</v>
      </c>
      <c r="E5" s="99">
        <f>'P&amp;L'!I52</f>
        <v>0.18930473917411469</v>
      </c>
      <c r="F5" s="99">
        <f>'P&amp;L'!J52</f>
        <v>0.18930473917411469</v>
      </c>
      <c r="G5" s="99">
        <f>'P&amp;L'!K52</f>
        <v>0.18930473917411469</v>
      </c>
      <c r="H5" s="99">
        <f>'P&amp;L'!L52</f>
        <v>0.18930473917411469</v>
      </c>
    </row>
    <row r="6" spans="1:9">
      <c r="A6" s="97" t="s">
        <v>156</v>
      </c>
      <c r="B6" s="98"/>
      <c r="C6" s="98"/>
      <c r="D6" s="100">
        <f>D4*D5</f>
        <v>2896.1270365099031</v>
      </c>
      <c r="E6" s="100">
        <f t="shared" ref="E6:H6" si="1">E4*E5</f>
        <v>3223.5503875661361</v>
      </c>
      <c r="F6" s="100">
        <f t="shared" si="1"/>
        <v>3567.3470914524669</v>
      </c>
      <c r="G6" s="100">
        <f t="shared" si="1"/>
        <v>3922.4020642128448</v>
      </c>
      <c r="H6" s="100">
        <f t="shared" si="1"/>
        <v>4282.571386908744</v>
      </c>
    </row>
    <row r="7" spans="1:9" s="1" customFormat="1">
      <c r="A7" s="94" t="s">
        <v>158</v>
      </c>
      <c r="B7" s="95"/>
      <c r="C7" s="95"/>
      <c r="D7" s="96">
        <f>D4-D6</f>
        <v>12402.62908098045</v>
      </c>
      <c r="E7" s="96">
        <f t="shared" ref="E7:H7" si="2">E4-E6</f>
        <v>13804.815630261064</v>
      </c>
      <c r="F7" s="96">
        <f t="shared" si="2"/>
        <v>15277.120865429311</v>
      </c>
      <c r="G7" s="96">
        <f t="shared" si="2"/>
        <v>16797.639501176498</v>
      </c>
      <c r="H7" s="96">
        <f t="shared" si="2"/>
        <v>18340.060278798319</v>
      </c>
    </row>
    <row r="8" spans="1:9">
      <c r="A8" s="97" t="s">
        <v>159</v>
      </c>
      <c r="B8" s="98"/>
      <c r="C8" s="98"/>
      <c r="D8" s="100">
        <f ca="1">'P&amp;L'!H57</f>
        <v>1122.3583708970141</v>
      </c>
      <c r="E8" s="100">
        <f ca="1">'P&amp;L'!I57</f>
        <v>1187.1028266247458</v>
      </c>
      <c r="F8" s="100">
        <f ca="1">'P&amp;L'!J57</f>
        <v>1246.7464693216571</v>
      </c>
      <c r="G8" s="100">
        <f ca="1">'P&amp;L'!K57</f>
        <v>1316.6385013821928</v>
      </c>
      <c r="H8" s="100">
        <f>'P&amp;L'!L57</f>
        <v>1327.9670887950651</v>
      </c>
    </row>
    <row r="9" spans="1:9">
      <c r="A9" s="97" t="s">
        <v>160</v>
      </c>
      <c r="B9" s="98"/>
      <c r="C9" s="98"/>
      <c r="D9" s="100">
        <f ca="1">SUM(CFS!C15:C19)</f>
        <v>1896.5408004095532</v>
      </c>
      <c r="E9" s="100">
        <f ca="1">SUM(CFS!D15:D19)</f>
        <v>1646.8392639081383</v>
      </c>
      <c r="F9" s="100">
        <f ca="1">SUM(CFS!E15:E19)</f>
        <v>1852.4703331984977</v>
      </c>
      <c r="G9" s="100">
        <f ca="1">SUM(CFS!F15:F19)</f>
        <v>1829.8035487024219</v>
      </c>
      <c r="H9" s="100">
        <f ca="1">SUM(CFS!G15:G19)</f>
        <v>1774.6545937328792</v>
      </c>
    </row>
    <row r="10" spans="1:9">
      <c r="A10" s="97" t="s">
        <v>161</v>
      </c>
      <c r="B10" s="98"/>
      <c r="C10" s="98"/>
      <c r="D10" s="100">
        <f>CFS!C23</f>
        <v>-1404</v>
      </c>
      <c r="E10" s="100">
        <f ca="1">CFS!D23</f>
        <v>-1282.8424321327584</v>
      </c>
      <c r="F10" s="100">
        <f ca="1">CFS!E23</f>
        <v>-1430.0677719931955</v>
      </c>
      <c r="G10" s="100">
        <f ca="1">CFS!F23</f>
        <v>-1428.0582861742369</v>
      </c>
      <c r="H10" s="100">
        <f ca="1">CFS!G23</f>
        <v>-1393.1437844925022</v>
      </c>
    </row>
    <row r="11" spans="1:9" s="1" customFormat="1">
      <c r="A11" s="94" t="s">
        <v>162</v>
      </c>
      <c r="B11" s="95"/>
      <c r="C11" s="95"/>
      <c r="D11" s="96">
        <f ca="1">SUM(D7:D10)</f>
        <v>14017.528252287018</v>
      </c>
      <c r="E11" s="96">
        <f t="shared" ref="E11:H11" ca="1" si="3">SUM(E7:E10)</f>
        <v>15355.915288661192</v>
      </c>
      <c r="F11" s="96">
        <f t="shared" ca="1" si="3"/>
        <v>16946.269895956269</v>
      </c>
      <c r="G11" s="96">
        <f t="shared" ca="1" si="3"/>
        <v>18516.023265086875</v>
      </c>
      <c r="H11" s="96">
        <f t="shared" ca="1" si="3"/>
        <v>20049.538176833761</v>
      </c>
    </row>
    <row r="12" spans="1:9">
      <c r="A12" s="97"/>
      <c r="B12" s="98"/>
      <c r="C12" s="98"/>
      <c r="D12" s="100"/>
      <c r="E12" s="99">
        <f ca="1">E11/D11-1</f>
        <v>9.5479531932158634E-2</v>
      </c>
      <c r="F12" s="99">
        <f t="shared" ref="F12:H12" ca="1" si="4">F11/E11-1</f>
        <v>0.10356625296503141</v>
      </c>
      <c r="G12" s="99">
        <f t="shared" ca="1" si="4"/>
        <v>9.2631203136047224E-2</v>
      </c>
      <c r="H12" s="99">
        <f t="shared" ca="1" si="4"/>
        <v>8.2820964836354705E-2</v>
      </c>
    </row>
    <row r="13" spans="1:9">
      <c r="A13" s="97" t="s">
        <v>163</v>
      </c>
      <c r="B13" s="98"/>
      <c r="C13" s="98"/>
      <c r="D13" s="100"/>
      <c r="E13" s="100"/>
      <c r="F13" s="100"/>
      <c r="G13" s="100"/>
      <c r="H13" s="101">
        <f ca="1">H11*(1+B19)/(B18-B19)</f>
        <v>449093.39385465399</v>
      </c>
    </row>
    <row r="14" spans="1:9">
      <c r="A14" s="97" t="s">
        <v>164</v>
      </c>
      <c r="B14" s="98"/>
      <c r="C14" s="98"/>
      <c r="D14" s="100">
        <f ca="1">D11+D13</f>
        <v>14017.528252287018</v>
      </c>
      <c r="E14" s="100">
        <f ca="1">E11+E13</f>
        <v>15355.915288661192</v>
      </c>
      <c r="F14" s="100">
        <f ca="1">F11+F13</f>
        <v>16946.269895956269</v>
      </c>
      <c r="G14" s="100">
        <f ca="1">G11+G13</f>
        <v>18516.023265086875</v>
      </c>
      <c r="H14" s="100">
        <f ca="1">H11+H13</f>
        <v>469142.93203148776</v>
      </c>
    </row>
    <row r="15" spans="1:9">
      <c r="A15" s="97" t="s">
        <v>165</v>
      </c>
      <c r="B15" s="98"/>
      <c r="C15" s="98"/>
      <c r="D15" s="100">
        <f ca="1">D14/(1+$B$18)^D1</f>
        <v>13220.165339540496</v>
      </c>
      <c r="E15" s="100">
        <f ca="1">E14/(1+$B$18)^E1</f>
        <v>13658.613029787299</v>
      </c>
      <c r="F15" s="100">
        <f ca="1">F14/(1+$B$18)^F1</f>
        <v>14215.772310290829</v>
      </c>
      <c r="G15" s="100">
        <f ca="1">G14/(1+$B$18)^G1</f>
        <v>14649.051452077709</v>
      </c>
      <c r="H15" s="100">
        <f ca="1">H14/(1+$B$18)^H1</f>
        <v>350051.87723241252</v>
      </c>
    </row>
    <row r="16" spans="1:9" ht="16" thickBot="1">
      <c r="C16" s="51"/>
    </row>
    <row r="17" spans="1:12" ht="16" thickBot="1">
      <c r="A17" s="319" t="s">
        <v>234</v>
      </c>
      <c r="B17" s="319"/>
      <c r="D17" s="86"/>
      <c r="E17" s="87"/>
      <c r="F17" s="320" t="s">
        <v>184</v>
      </c>
      <c r="G17" s="320"/>
      <c r="H17" s="320"/>
      <c r="I17" s="320"/>
      <c r="J17" s="320"/>
      <c r="K17" s="320"/>
      <c r="L17" s="321"/>
    </row>
    <row r="18" spans="1:12">
      <c r="A18" s="106" t="s">
        <v>184</v>
      </c>
      <c r="B18" s="137">
        <f>('Cost of equity'!B16*'Cost of equity'!C22/'Cost of equity'!E22)+('Cost of debt'!B17*'Cost of equity'!D22/'Cost of equity'!E22)</f>
        <v>6.0314140728760075E-2</v>
      </c>
      <c r="D18" s="322" t="s">
        <v>191</v>
      </c>
      <c r="E18" s="108">
        <f ca="1">B26</f>
        <v>91.483907260210387</v>
      </c>
      <c r="F18" s="310">
        <f t="shared" ref="F18:G18" si="5">G18-0.5%</f>
        <v>4.5300000000000007E-2</v>
      </c>
      <c r="G18" s="310">
        <f t="shared" si="5"/>
        <v>5.0300000000000004E-2</v>
      </c>
      <c r="H18" s="310">
        <f>I18-0.5%</f>
        <v>5.5300000000000002E-2</v>
      </c>
      <c r="I18" s="309">
        <v>6.0299999999999999E-2</v>
      </c>
      <c r="J18" s="109">
        <f>I18+0.5%</f>
        <v>6.5299999999999997E-2</v>
      </c>
      <c r="K18" s="109">
        <f t="shared" ref="K18:L18" si="6">J18+0.5%</f>
        <v>7.0300000000000001E-2</v>
      </c>
      <c r="L18" s="110">
        <f t="shared" si="6"/>
        <v>7.5300000000000006E-2</v>
      </c>
    </row>
    <row r="19" spans="1:12">
      <c r="A19" s="78" t="s">
        <v>185</v>
      </c>
      <c r="B19" s="138">
        <v>1.4999999999999999E-2</v>
      </c>
      <c r="D19" s="322"/>
      <c r="E19" s="109">
        <v>1.1000000000000001E-2</v>
      </c>
      <c r="F19" s="108">
        <f t="dataTable" ref="F19:L27" dt2D="1" dtr="1" r1="B18" r2="B19" ca="1"/>
        <v>124.26637036372722</v>
      </c>
      <c r="G19" s="108">
        <v>107.8146739784914</v>
      </c>
      <c r="H19" s="311">
        <v>95.082146617344549</v>
      </c>
      <c r="I19" s="118">
        <v>84.937075270385819</v>
      </c>
      <c r="J19" s="311">
        <v>76.664587365032119</v>
      </c>
      <c r="K19" s="311">
        <v>69.7909169209005</v>
      </c>
      <c r="L19" s="111">
        <v>63.98966161594322</v>
      </c>
    </row>
    <row r="20" spans="1:12">
      <c r="A20" s="78" t="s">
        <v>166</v>
      </c>
      <c r="B20" s="134">
        <f ca="1">SUM(D15:H15)</f>
        <v>405795.47936410888</v>
      </c>
      <c r="D20" s="322"/>
      <c r="E20" s="109">
        <v>1.3000000000000001E-2</v>
      </c>
      <c r="F20" s="108">
        <v>131.28399570664908</v>
      </c>
      <c r="G20" s="108">
        <v>113.01817660621718</v>
      </c>
      <c r="H20" s="311">
        <v>99.076098019935912</v>
      </c>
      <c r="I20" s="118">
        <v>88.086473048011953</v>
      </c>
      <c r="J20" s="311">
        <v>79.202410755198656</v>
      </c>
      <c r="K20" s="311">
        <v>71.87262201659685</v>
      </c>
      <c r="L20" s="111">
        <v>65.722799117221257</v>
      </c>
    </row>
    <row r="21" spans="1:12">
      <c r="A21" s="78" t="s">
        <v>186</v>
      </c>
      <c r="B21" s="133">
        <f>SUM('Balance Sheet'!G30:G31,'Balance Sheet'!G34)</f>
        <v>44522</v>
      </c>
      <c r="D21" s="322"/>
      <c r="E21" s="122">
        <v>1.5000000000000001E-2</v>
      </c>
      <c r="F21" s="112">
        <v>139.22804023675536</v>
      </c>
      <c r="G21" s="112">
        <v>118.81131125974758</v>
      </c>
      <c r="H21" s="113">
        <v>103.46647139797059</v>
      </c>
      <c r="I21" s="120">
        <v>91.513963344633737</v>
      </c>
      <c r="J21" s="113">
        <v>81.942049126690549</v>
      </c>
      <c r="K21" s="113">
        <v>74.104902526086789</v>
      </c>
      <c r="L21" s="121">
        <v>67.570904280275599</v>
      </c>
    </row>
    <row r="22" spans="1:12">
      <c r="A22" s="78" t="s">
        <v>187</v>
      </c>
      <c r="B22" s="133">
        <f>'Balance Sheet'!G6+'Balance Sheet'!G7</f>
        <v>12848</v>
      </c>
      <c r="D22" s="322"/>
      <c r="E22" s="109">
        <v>1.7000000000000001E-2</v>
      </c>
      <c r="F22" s="108">
        <v>148.29491791599324</v>
      </c>
      <c r="G22" s="108">
        <v>125.30031794373211</v>
      </c>
      <c r="H22" s="311">
        <v>108.31536941078701</v>
      </c>
      <c r="I22" s="118">
        <v>95.25808092038919</v>
      </c>
      <c r="J22" s="311">
        <v>84.908572663523401</v>
      </c>
      <c r="K22" s="311">
        <v>76.50470877737709</v>
      </c>
      <c r="L22" s="111">
        <v>69.54580911146401</v>
      </c>
    </row>
    <row r="23" spans="1:12">
      <c r="A23" s="78" t="s">
        <v>188</v>
      </c>
      <c r="B23" s="133">
        <f>SUM('Balance Sheet'!F10,'Balance Sheet'!F16:F17)</f>
        <v>21089</v>
      </c>
      <c r="D23" s="322"/>
      <c r="E23" s="109">
        <v>1.9E-2</v>
      </c>
      <c r="F23" s="108">
        <v>158.74078839815701</v>
      </c>
      <c r="G23" s="108">
        <v>132.61859065761877</v>
      </c>
      <c r="H23" s="311">
        <v>113.69858125421675</v>
      </c>
      <c r="I23" s="118">
        <v>99.364824895733534</v>
      </c>
      <c r="J23" s="311">
        <v>88.131383330968163</v>
      </c>
      <c r="K23" s="311">
        <v>79.091634424479508</v>
      </c>
      <c r="L23" s="111">
        <v>71.661026896910926</v>
      </c>
    </row>
    <row r="24" spans="1:12">
      <c r="A24" s="78" t="s">
        <v>167</v>
      </c>
      <c r="B24" s="134">
        <f ca="1">B20-B21+B22+B23</f>
        <v>395210.47936410888</v>
      </c>
      <c r="D24" s="322"/>
      <c r="E24" s="109">
        <v>2.0999999999999998E-2</v>
      </c>
      <c r="F24" s="108">
        <v>170.90614373335188</v>
      </c>
      <c r="G24" s="108">
        <v>140.93594497067087</v>
      </c>
      <c r="H24" s="311">
        <v>119.70957290446049</v>
      </c>
      <c r="I24" s="118">
        <v>103.88955807976436</v>
      </c>
      <c r="J24" s="311">
        <v>91.645192704277008</v>
      </c>
      <c r="K24" s="311">
        <v>81.88845261901416</v>
      </c>
      <c r="L24" s="111">
        <v>73.932061830457087</v>
      </c>
    </row>
    <row r="25" spans="1:12">
      <c r="A25" s="78" t="s">
        <v>189</v>
      </c>
      <c r="B25" s="133">
        <f>'P&amp;L'!G43</f>
        <v>4320</v>
      </c>
      <c r="D25" s="322"/>
      <c r="E25" s="109">
        <v>2.3E-2</v>
      </c>
      <c r="F25" s="108">
        <v>185.25362558607051</v>
      </c>
      <c r="G25" s="108">
        <v>150.47195925633133</v>
      </c>
      <c r="H25" s="311">
        <v>126.4649598055084</v>
      </c>
      <c r="I25" s="118">
        <v>108.8995173425116</v>
      </c>
      <c r="J25" s="311">
        <v>95.491277195629252</v>
      </c>
      <c r="K25" s="311">
        <v>84.921788208435459</v>
      </c>
      <c r="L25" s="111">
        <v>76.376789684350925</v>
      </c>
    </row>
    <row r="26" spans="1:12" ht="16" thickBot="1">
      <c r="A26" s="140" t="s">
        <v>190</v>
      </c>
      <c r="B26" s="139">
        <f ca="1">B24/B25</f>
        <v>91.483907260210387</v>
      </c>
      <c r="D26" s="322"/>
      <c r="E26" s="109">
        <v>2.5000000000000001E-2</v>
      </c>
      <c r="F26" s="108">
        <v>202.42819745902929</v>
      </c>
      <c r="G26" s="108">
        <v>161.51564378478398</v>
      </c>
      <c r="H26" s="311">
        <v>134.11214695751971</v>
      </c>
      <c r="I26" s="118">
        <v>114.47717737157583</v>
      </c>
      <c r="J26" s="311">
        <v>99.71910704592463</v>
      </c>
      <c r="K26" s="311">
        <v>88.222968000013196</v>
      </c>
      <c r="L26" s="111">
        <v>79.015929296009702</v>
      </c>
    </row>
    <row r="27" spans="1:12" ht="16" thickBot="1">
      <c r="D27" s="323"/>
      <c r="E27" s="114">
        <v>2.7000000000000003E-2</v>
      </c>
      <c r="F27" s="115">
        <v>223.3567741129626</v>
      </c>
      <c r="G27" s="115">
        <v>174.45523982026708</v>
      </c>
      <c r="H27" s="116">
        <v>142.84020861864923</v>
      </c>
      <c r="I27" s="119">
        <v>120.72482659332042</v>
      </c>
      <c r="J27" s="116">
        <v>104.38848570565034</v>
      </c>
      <c r="K27" s="116">
        <v>91.829106663792089</v>
      </c>
      <c r="L27" s="117">
        <v>81.873631194348263</v>
      </c>
    </row>
    <row r="30" spans="1:12" ht="16" thickBot="1"/>
    <row r="31" spans="1:12" ht="16" customHeight="1" thickBot="1">
      <c r="A31" s="314" t="s">
        <v>219</v>
      </c>
      <c r="B31" s="313"/>
      <c r="D31" s="316" t="s">
        <v>235</v>
      </c>
      <c r="E31" s="317"/>
      <c r="F31" s="318"/>
      <c r="G31" s="68"/>
    </row>
    <row r="32" spans="1:12" ht="16" thickBot="1">
      <c r="A32" s="124" t="s">
        <v>220</v>
      </c>
      <c r="B32" s="130">
        <f ca="1">SUM(E37:I37)</f>
        <v>70703.602586254012</v>
      </c>
      <c r="D32" s="73" t="s">
        <v>223</v>
      </c>
      <c r="E32" s="74" t="s">
        <v>224</v>
      </c>
      <c r="F32" s="75" t="s">
        <v>225</v>
      </c>
      <c r="G32" s="69"/>
    </row>
    <row r="33" spans="1:9" ht="16" thickBot="1">
      <c r="A33" s="79" t="s">
        <v>222</v>
      </c>
      <c r="B33" s="131">
        <f>AVERAGE(D33:F33)</f>
        <v>14.966666666666667</v>
      </c>
      <c r="D33" s="102">
        <v>11.6</v>
      </c>
      <c r="E33" s="103">
        <v>11.1</v>
      </c>
      <c r="F33" s="104">
        <v>22.2</v>
      </c>
      <c r="G33" s="70"/>
    </row>
    <row r="34" spans="1:9">
      <c r="A34" s="125" t="s">
        <v>230</v>
      </c>
      <c r="B34" s="132">
        <f>'P&amp;L'!L56</f>
        <v>23950.598754502127</v>
      </c>
    </row>
    <row r="35" spans="1:9" ht="16" thickBot="1">
      <c r="A35" s="126" t="s">
        <v>221</v>
      </c>
      <c r="B35" s="132">
        <f>B34*B33</f>
        <v>358460.62802571518</v>
      </c>
    </row>
    <row r="36" spans="1:9">
      <c r="A36" s="126" t="s">
        <v>226</v>
      </c>
      <c r="B36" s="132">
        <f>B35*I36</f>
        <v>267466.06883952633</v>
      </c>
      <c r="D36" s="76" t="s">
        <v>231</v>
      </c>
      <c r="E36" s="80">
        <f>1/(1+$B$18)^D1</f>
        <v>0.94311672511760913</v>
      </c>
      <c r="F36" s="80">
        <f>1/(1+$B$18)^E1</f>
        <v>0.88946915719656383</v>
      </c>
      <c r="G36" s="80">
        <f>1/(1+$B$18)^F1</f>
        <v>0.83887323862834307</v>
      </c>
      <c r="H36" s="80">
        <f>1/(1+$B$18)^G1</f>
        <v>0.79115538160396548</v>
      </c>
      <c r="I36" s="80">
        <f>1/(1+$B$18)^H1</f>
        <v>0.74615187255750415</v>
      </c>
    </row>
    <row r="37" spans="1:9" ht="17" thickBot="1">
      <c r="A37" s="127" t="s">
        <v>227</v>
      </c>
      <c r="B37" s="130">
        <f ca="1">B36+B32</f>
        <v>338169.67142578034</v>
      </c>
      <c r="D37" s="77" t="s">
        <v>232</v>
      </c>
      <c r="E37" s="81">
        <f ca="1">D11*E36</f>
        <v>13220.165339540496</v>
      </c>
      <c r="F37" s="81">
        <f ca="1">E11*F36</f>
        <v>13658.613029787299</v>
      </c>
      <c r="G37" s="81">
        <f ca="1">F11*G36</f>
        <v>14215.772310290829</v>
      </c>
      <c r="H37" s="81">
        <f ca="1">G11*H36</f>
        <v>14649.051452077709</v>
      </c>
      <c r="I37" s="82">
        <f ca="1">H11*I36</f>
        <v>14960.000454557679</v>
      </c>
    </row>
    <row r="38" spans="1:9">
      <c r="A38" s="126" t="s">
        <v>228</v>
      </c>
      <c r="B38" s="133">
        <f>B21</f>
        <v>44522</v>
      </c>
    </row>
    <row r="39" spans="1:9">
      <c r="A39" s="126" t="s">
        <v>229</v>
      </c>
      <c r="B39" s="133">
        <f>B22</f>
        <v>12848</v>
      </c>
    </row>
    <row r="40" spans="1:9">
      <c r="A40" s="79" t="s">
        <v>188</v>
      </c>
      <c r="B40" s="133">
        <f>SUM('Balance Sheet'!F26,'Balance Sheet'!F32:F33)</f>
        <v>25140</v>
      </c>
    </row>
    <row r="41" spans="1:9">
      <c r="A41" s="128" t="s">
        <v>167</v>
      </c>
      <c r="B41" s="134">
        <f ca="1">B37-B38+B39+B40</f>
        <v>331635.67142578034</v>
      </c>
    </row>
    <row r="42" spans="1:9">
      <c r="A42" s="79" t="s">
        <v>189</v>
      </c>
      <c r="B42" s="133">
        <f>B25</f>
        <v>4320</v>
      </c>
    </row>
    <row r="43" spans="1:9">
      <c r="A43" s="129" t="s">
        <v>190</v>
      </c>
      <c r="B43" s="135">
        <f ca="1">B41/B42</f>
        <v>76.76751653374545</v>
      </c>
    </row>
    <row r="44" spans="1:9" ht="16" thickBot="1">
      <c r="A44" s="125" t="s">
        <v>233</v>
      </c>
      <c r="B44" s="136">
        <f ca="1">(B43/'Cost of equity'!E284)-1</f>
        <v>0.10361582135919267</v>
      </c>
    </row>
  </sheetData>
  <mergeCells count="7">
    <mergeCell ref="D2:H2"/>
    <mergeCell ref="A2:A3"/>
    <mergeCell ref="D31:F31"/>
    <mergeCell ref="A17:B17"/>
    <mergeCell ref="A31:B31"/>
    <mergeCell ref="F17:L17"/>
    <mergeCell ref="D18:D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A307-3206-47FF-A2D5-3D9E3356222B}">
  <sheetPr>
    <tabColor theme="9" tint="0.39997558519241921"/>
  </sheetPr>
  <dimension ref="A1:P337"/>
  <sheetViews>
    <sheetView showGridLines="0" topLeftCell="A2" zoomScaleNormal="100" workbookViewId="0">
      <selection activeCell="B16" sqref="B16"/>
    </sheetView>
  </sheetViews>
  <sheetFormatPr baseColWidth="10" defaultColWidth="8.83203125" defaultRowHeight="15"/>
  <cols>
    <col min="1" max="1" width="42.5" customWidth="1"/>
    <col min="2" max="2" width="11.5" style="4" customWidth="1"/>
    <col min="3" max="3" width="15.6640625" customWidth="1"/>
    <col min="4" max="4" width="11.5" customWidth="1"/>
    <col min="5" max="5" width="10" customWidth="1"/>
  </cols>
  <sheetData>
    <row r="1" spans="1:16" ht="50" customHeight="1">
      <c r="A1" s="194"/>
      <c r="B1" s="195"/>
      <c r="C1" s="194"/>
    </row>
    <row r="2" spans="1:16">
      <c r="A2" s="324" t="s">
        <v>1</v>
      </c>
      <c r="B2" s="325" t="s">
        <v>2</v>
      </c>
      <c r="C2" s="325"/>
    </row>
    <row r="3" spans="1:16" ht="16" thickBot="1">
      <c r="A3" s="324"/>
      <c r="B3" s="325"/>
      <c r="C3" s="325"/>
    </row>
    <row r="4" spans="1:16">
      <c r="A4" s="277"/>
      <c r="B4" s="263"/>
      <c r="C4" s="264"/>
      <c r="D4" s="2"/>
    </row>
    <row r="5" spans="1:16">
      <c r="A5" s="278" t="s">
        <v>168</v>
      </c>
      <c r="B5" s="265"/>
      <c r="C5" s="266"/>
    </row>
    <row r="6" spans="1:16">
      <c r="A6" s="278" t="s">
        <v>169</v>
      </c>
      <c r="B6" s="267">
        <v>4.5060000000000003E-2</v>
      </c>
      <c r="C6" s="266"/>
    </row>
    <row r="7" spans="1:16">
      <c r="A7" s="278" t="s">
        <v>170</v>
      </c>
      <c r="B7" s="267">
        <f>B13</f>
        <v>7.5209579141362948E-2</v>
      </c>
      <c r="C7" s="266"/>
    </row>
    <row r="8" spans="1:16">
      <c r="A8" s="278"/>
      <c r="B8" s="265"/>
      <c r="C8" s="266"/>
    </row>
    <row r="9" spans="1:16">
      <c r="A9" s="279" t="s">
        <v>171</v>
      </c>
      <c r="B9" s="268" t="s">
        <v>172</v>
      </c>
      <c r="C9" s="269" t="s">
        <v>173</v>
      </c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80">
        <v>31048</v>
      </c>
      <c r="B10" s="270">
        <v>1985</v>
      </c>
      <c r="C10" s="271">
        <v>1097.02</v>
      </c>
      <c r="D10" s="4"/>
    </row>
    <row r="11" spans="1:16">
      <c r="A11" s="280">
        <v>45708</v>
      </c>
      <c r="B11" s="270">
        <v>2025</v>
      </c>
      <c r="C11" s="271">
        <v>20149.849999999999</v>
      </c>
      <c r="D11" s="4"/>
    </row>
    <row r="12" spans="1:16">
      <c r="A12" s="281" t="s">
        <v>174</v>
      </c>
      <c r="B12" s="272">
        <f>YEARFRAC(A10,A11,1)</f>
        <v>40.137562604340566</v>
      </c>
      <c r="C12" s="271"/>
      <c r="D12" s="4"/>
    </row>
    <row r="13" spans="1:16">
      <c r="A13" s="281" t="s">
        <v>175</v>
      </c>
      <c r="B13" s="273">
        <f>(C11/C10)^(1/B12)-1</f>
        <v>7.5209579141362948E-2</v>
      </c>
      <c r="C13" s="271"/>
      <c r="D13" s="4"/>
    </row>
    <row r="14" spans="1:16">
      <c r="A14" s="281" t="s">
        <v>193</v>
      </c>
      <c r="B14" s="273">
        <v>0.27</v>
      </c>
      <c r="C14" s="271"/>
      <c r="D14" s="4"/>
    </row>
    <row r="15" spans="1:16">
      <c r="A15" s="281" t="s">
        <v>208</v>
      </c>
      <c r="B15" s="274">
        <f>F31</f>
        <v>0.56633429523940737</v>
      </c>
      <c r="C15" s="271"/>
      <c r="D15" s="4"/>
    </row>
    <row r="16" spans="1:16" ht="16" thickBot="1">
      <c r="A16" s="282" t="s">
        <v>209</v>
      </c>
      <c r="B16" s="275">
        <f>B6+(B7-B6)*B15</f>
        <v>6.2134740654788523E-2</v>
      </c>
      <c r="C16" s="27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20" spans="1:16" ht="16" thickBot="1"/>
    <row r="21" spans="1:16">
      <c r="A21" s="192" t="s">
        <v>210</v>
      </c>
      <c r="B21" s="188" t="s">
        <v>183</v>
      </c>
      <c r="C21" s="188" t="s">
        <v>211</v>
      </c>
      <c r="D21" s="189" t="s">
        <v>212</v>
      </c>
      <c r="E21" s="188" t="s">
        <v>213</v>
      </c>
      <c r="F21" s="188" t="s">
        <v>214</v>
      </c>
      <c r="G21" s="190"/>
      <c r="H21" s="1"/>
      <c r="I21" s="1"/>
      <c r="J21" s="1"/>
      <c r="K21" s="1"/>
      <c r="L21" s="1"/>
      <c r="M21" s="1"/>
      <c r="N21" s="1"/>
      <c r="O21" s="1"/>
      <c r="P21" s="1"/>
    </row>
    <row r="22" spans="1:16" ht="16" thickBot="1">
      <c r="A22" s="193" t="s">
        <v>176</v>
      </c>
      <c r="B22" s="191">
        <f>E35</f>
        <v>0.5877606257121093</v>
      </c>
      <c r="C22" s="85">
        <f>AVERAGE(275082,254779,268203)</f>
        <v>266021.33333333331</v>
      </c>
      <c r="D22" s="85">
        <f>AVERAGE(27518,28401,29951)</f>
        <v>28623.333333333332</v>
      </c>
      <c r="E22" s="85">
        <f>D22+C22</f>
        <v>294644.66666666663</v>
      </c>
      <c r="F22" s="191">
        <f>(B22/(D22*(1-$B$14)+C22))*C22</f>
        <v>0.54495624334467363</v>
      </c>
      <c r="G22" s="158"/>
    </row>
    <row r="23" spans="1:16" ht="16" thickBot="1">
      <c r="A23" s="53"/>
      <c r="B23" s="66"/>
      <c r="C23" s="5"/>
      <c r="D23" s="5"/>
      <c r="E23" s="5"/>
      <c r="F23" s="66"/>
    </row>
    <row r="24" spans="1:16">
      <c r="A24" s="174" t="s">
        <v>210</v>
      </c>
      <c r="B24" s="175" t="s">
        <v>183</v>
      </c>
      <c r="C24" s="175" t="s">
        <v>211</v>
      </c>
      <c r="D24" s="176" t="s">
        <v>212</v>
      </c>
      <c r="E24" s="175" t="s">
        <v>213</v>
      </c>
      <c r="F24" s="175" t="s">
        <v>214</v>
      </c>
      <c r="G24" s="177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78" t="s">
        <v>215</v>
      </c>
      <c r="B25" s="170"/>
      <c r="C25" s="171"/>
      <c r="D25" s="171"/>
      <c r="E25" s="171"/>
      <c r="F25" s="170"/>
      <c r="G25" s="179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80" t="s">
        <v>180</v>
      </c>
      <c r="B26" s="172">
        <f>H35</f>
        <v>0.53479867912571277</v>
      </c>
      <c r="C26" s="173">
        <f>AVERAGE(50565,46593,43569)</f>
        <v>46909</v>
      </c>
      <c r="D26" s="173">
        <f>AVERAGE(11432,12924,15044)</f>
        <v>13133.333333333334</v>
      </c>
      <c r="E26" s="173">
        <f>D26+C26</f>
        <v>60042.333333333336</v>
      </c>
      <c r="F26" s="172">
        <f>(B26/(D26*(1-$B$14)+C26))*C26</f>
        <v>0.44404423719134684</v>
      </c>
      <c r="G26" s="181"/>
    </row>
    <row r="27" spans="1:16">
      <c r="A27" s="180" t="s">
        <v>179</v>
      </c>
      <c r="B27" s="172">
        <f>K35</f>
        <v>0.48002385880948661</v>
      </c>
      <c r="C27" s="173">
        <f>AVERAGE(251832,236278,212201)</f>
        <v>233437</v>
      </c>
      <c r="D27" s="173">
        <f>AVERAGE(33723,34102,35040)</f>
        <v>34288.333333333336</v>
      </c>
      <c r="E27" s="173">
        <f>D27+C27</f>
        <v>267725.33333333331</v>
      </c>
      <c r="F27" s="172">
        <f>(B27/(D27*(1-$B$14)+C27))*C27</f>
        <v>0.43353743412434459</v>
      </c>
      <c r="G27" s="181"/>
    </row>
    <row r="28" spans="1:16" ht="16" thickBot="1">
      <c r="A28" s="182" t="s">
        <v>181</v>
      </c>
      <c r="B28" s="183">
        <f>N35</f>
        <v>0.69768926302258139</v>
      </c>
      <c r="C28" s="184">
        <f>AVERAGE(53011,59940,51116)</f>
        <v>54689</v>
      </c>
      <c r="D28" s="185">
        <v>0</v>
      </c>
      <c r="E28" s="283">
        <f>D28+C28</f>
        <v>54689</v>
      </c>
      <c r="F28" s="284">
        <f>(B28/(D28*(1-$B$14)+C28))*C28</f>
        <v>0.69768926302258139</v>
      </c>
      <c r="G28" s="186"/>
    </row>
    <row r="29" spans="1:16" ht="49" thickBot="1">
      <c r="E29" s="285" t="s">
        <v>216</v>
      </c>
      <c r="F29" s="286">
        <f>AVERAGE(F26:F28)</f>
        <v>0.52509031144609086</v>
      </c>
    </row>
    <row r="30" spans="1:16">
      <c r="A30" s="291" t="s">
        <v>217</v>
      </c>
      <c r="B30" s="188" t="s">
        <v>183</v>
      </c>
      <c r="C30" s="188" t="s">
        <v>211</v>
      </c>
      <c r="D30" s="189" t="s">
        <v>212</v>
      </c>
      <c r="E30" s="188" t="s">
        <v>213</v>
      </c>
      <c r="F30" s="188" t="s">
        <v>218</v>
      </c>
      <c r="G30" s="83"/>
    </row>
    <row r="31" spans="1:16" ht="16" thickBot="1">
      <c r="A31" s="182" t="s">
        <v>216</v>
      </c>
      <c r="B31" s="287">
        <f>F29</f>
        <v>0.52509031144609086</v>
      </c>
      <c r="C31" s="288">
        <f>C22</f>
        <v>266021.33333333331</v>
      </c>
      <c r="D31" s="288">
        <f>D22</f>
        <v>28623.333333333332</v>
      </c>
      <c r="E31" s="288">
        <f>E22</f>
        <v>294644.66666666663</v>
      </c>
      <c r="F31" s="289">
        <f>(B31/C31)*(D31*(1-B14)+C31)</f>
        <v>0.56633429523940737</v>
      </c>
      <c r="G31" s="290"/>
    </row>
    <row r="33" spans="1:15" ht="16" thickBot="1"/>
    <row r="34" spans="1:15" ht="48">
      <c r="A34" s="159"/>
      <c r="B34" s="161" t="s">
        <v>182</v>
      </c>
      <c r="C34" s="162"/>
      <c r="D34" s="162"/>
      <c r="E34" s="163" t="s">
        <v>176</v>
      </c>
      <c r="F34" s="162"/>
      <c r="G34" s="162"/>
      <c r="H34" s="164" t="s">
        <v>180</v>
      </c>
      <c r="I34" s="162"/>
      <c r="J34" s="162"/>
      <c r="K34" s="163" t="s">
        <v>179</v>
      </c>
      <c r="L34" s="163"/>
      <c r="M34" s="163"/>
      <c r="N34" s="164" t="s">
        <v>181</v>
      </c>
      <c r="O34" s="165"/>
    </row>
    <row r="35" spans="1:15" ht="16" thickBot="1">
      <c r="A35" s="160" t="s">
        <v>183</v>
      </c>
      <c r="B35" s="166">
        <f>_xlfn.COVARIANCE.S($C$39:$C$232,C39:C232)/_xlfn.VAR.S($C$39:$C$232,C39:C232)</f>
        <v>1.0026041666666663</v>
      </c>
      <c r="C35" s="167"/>
      <c r="D35" s="167"/>
      <c r="E35" s="166">
        <f>_xlfn.COVARIANCE.S($C$39:$C$284,F39:F284)/_xlfn.VAR.S($C$39:$C$284)</f>
        <v>0.5877606257121093</v>
      </c>
      <c r="F35" s="167"/>
      <c r="G35" s="167"/>
      <c r="H35" s="166">
        <f>_xlfn.COVARIANCE.S($C$39:$C$284,I39:I284)/_xlfn.VAR.S($C$39:$C$284)</f>
        <v>0.53479867912571277</v>
      </c>
      <c r="I35" s="167"/>
      <c r="J35" s="167"/>
      <c r="K35" s="166">
        <f>_xlfn.COVARIANCE.S($C$39:$C$284,L39:L284)/_xlfn.VAR.S($C$39:$C$284)</f>
        <v>0.48002385880948661</v>
      </c>
      <c r="L35" s="168"/>
      <c r="M35" s="168"/>
      <c r="N35" s="166">
        <f>_xlfn.COVARIANCE.S($C$39:$C$284,O39:O284)/_xlfn.VAR.S($C$39:$C$284)</f>
        <v>0.69768926302258139</v>
      </c>
      <c r="O35" s="169"/>
    </row>
    <row r="36" spans="1:15" ht="16" thickBot="1">
      <c r="E36" s="4"/>
      <c r="K36" s="4"/>
      <c r="L36" s="4"/>
      <c r="M36" s="4"/>
    </row>
    <row r="37" spans="1:15" ht="16" thickBot="1">
      <c r="A37" s="150" t="s">
        <v>171</v>
      </c>
      <c r="B37" s="153" t="s">
        <v>177</v>
      </c>
      <c r="C37" s="143" t="s">
        <v>178</v>
      </c>
      <c r="D37" s="142"/>
      <c r="E37" s="153" t="s">
        <v>177</v>
      </c>
      <c r="F37" s="143" t="s">
        <v>178</v>
      </c>
      <c r="G37" s="142"/>
      <c r="H37" s="153" t="s">
        <v>177</v>
      </c>
      <c r="I37" s="143" t="s">
        <v>178</v>
      </c>
      <c r="J37" s="142"/>
      <c r="K37" s="153" t="s">
        <v>177</v>
      </c>
      <c r="L37" s="143" t="s">
        <v>178</v>
      </c>
      <c r="M37" s="142"/>
      <c r="N37" s="153" t="s">
        <v>177</v>
      </c>
      <c r="O37" s="143" t="s">
        <v>178</v>
      </c>
    </row>
    <row r="38" spans="1:15">
      <c r="A38" s="151"/>
      <c r="B38" s="154"/>
      <c r="C38" s="144"/>
      <c r="E38" s="154"/>
      <c r="F38" s="144"/>
      <c r="H38" s="154"/>
      <c r="I38" s="144"/>
      <c r="K38" s="154"/>
      <c r="L38" s="144"/>
      <c r="N38" s="154"/>
      <c r="O38" s="144"/>
    </row>
    <row r="39" spans="1:15">
      <c r="A39" s="151">
        <v>43990</v>
      </c>
      <c r="B39" s="154">
        <v>11867.169921999999</v>
      </c>
      <c r="C39" s="146"/>
      <c r="D39" s="145"/>
      <c r="E39" s="154">
        <v>39.966343000000002</v>
      </c>
      <c r="F39" s="146"/>
      <c r="G39" s="145"/>
      <c r="H39" s="154">
        <v>25.548867999999999</v>
      </c>
      <c r="I39" s="146"/>
      <c r="J39" s="145"/>
      <c r="K39" s="154">
        <v>115.19059</v>
      </c>
      <c r="L39" s="146"/>
      <c r="M39" s="145"/>
      <c r="N39" s="154">
        <v>34.150002000000001</v>
      </c>
      <c r="O39" s="146"/>
    </row>
    <row r="40" spans="1:15">
      <c r="A40" s="151">
        <v>43997</v>
      </c>
      <c r="B40" s="154">
        <v>11980.120117</v>
      </c>
      <c r="C40" s="146">
        <f t="shared" ref="C40:C61" si="0">B40/B39-1</f>
        <v>9.5178712146530842E-3</v>
      </c>
      <c r="D40" s="145"/>
      <c r="E40" s="154">
        <v>40.700893000000001</v>
      </c>
      <c r="F40" s="146">
        <f t="shared" ref="F40:F61" si="1">E40/E39-1</f>
        <v>1.8379214730754878E-2</v>
      </c>
      <c r="G40" s="145"/>
      <c r="H40" s="154">
        <v>26.084921000000001</v>
      </c>
      <c r="I40" s="146">
        <f t="shared" ref="I40:I60" si="2">H40/H39-1</f>
        <v>2.0981477535521487E-2</v>
      </c>
      <c r="J40" s="145"/>
      <c r="K40" s="154">
        <v>117.226517</v>
      </c>
      <c r="L40" s="146">
        <f t="shared" ref="L40:L60" si="3">K40/K39-1</f>
        <v>1.7674421148463626E-2</v>
      </c>
      <c r="M40" s="145"/>
      <c r="N40" s="154">
        <v>35.040000999999997</v>
      </c>
      <c r="O40" s="146">
        <f t="shared" ref="O40:O60" si="4">N40/N39-1</f>
        <v>2.6061462602549712E-2</v>
      </c>
    </row>
    <row r="41" spans="1:15">
      <c r="A41" s="151">
        <v>44004</v>
      </c>
      <c r="B41" s="154">
        <v>11604.429688</v>
      </c>
      <c r="C41" s="146">
        <f t="shared" si="0"/>
        <v>-3.1359487662138585E-2</v>
      </c>
      <c r="D41" s="145"/>
      <c r="E41" s="154">
        <v>38.534072999999999</v>
      </c>
      <c r="F41" s="146">
        <f t="shared" si="1"/>
        <v>-5.323765254978563E-2</v>
      </c>
      <c r="G41" s="145"/>
      <c r="H41" s="154">
        <v>25.639721000000002</v>
      </c>
      <c r="I41" s="146">
        <f t="shared" si="2"/>
        <v>-1.706733173544972E-2</v>
      </c>
      <c r="J41" s="145"/>
      <c r="K41" s="154">
        <v>115.128067</v>
      </c>
      <c r="L41" s="146">
        <f t="shared" si="3"/>
        <v>-1.7900813345840483E-2</v>
      </c>
      <c r="M41" s="145"/>
      <c r="N41" s="154">
        <v>33.950001</v>
      </c>
      <c r="O41" s="146">
        <f t="shared" si="4"/>
        <v>-3.1107305048307388E-2</v>
      </c>
    </row>
    <row r="42" spans="1:15">
      <c r="A42" s="151">
        <v>44011</v>
      </c>
      <c r="B42" s="154">
        <v>11991.519531</v>
      </c>
      <c r="C42" s="146">
        <f t="shared" si="0"/>
        <v>3.3357075996615748E-2</v>
      </c>
      <c r="D42" s="145"/>
      <c r="E42" s="154">
        <v>39.692646000000003</v>
      </c>
      <c r="F42" s="146">
        <f t="shared" si="1"/>
        <v>3.0066196220679853E-2</v>
      </c>
      <c r="G42" s="145"/>
      <c r="H42" s="154">
        <v>25.921379000000002</v>
      </c>
      <c r="I42" s="146">
        <f t="shared" si="2"/>
        <v>1.0985220939026652E-2</v>
      </c>
      <c r="J42" s="145"/>
      <c r="K42" s="154">
        <v>118.628426</v>
      </c>
      <c r="L42" s="146">
        <f t="shared" si="3"/>
        <v>3.0404045609486285E-2</v>
      </c>
      <c r="M42" s="145"/>
      <c r="N42" s="154">
        <v>34.630001</v>
      </c>
      <c r="O42" s="146">
        <f t="shared" si="4"/>
        <v>2.0029454491032217E-2</v>
      </c>
    </row>
    <row r="43" spans="1:15">
      <c r="A43" s="151">
        <v>44018</v>
      </c>
      <c r="B43" s="154">
        <v>12075.580078000001</v>
      </c>
      <c r="C43" s="146">
        <f t="shared" si="0"/>
        <v>7.0099995903514234E-3</v>
      </c>
      <c r="D43" s="145"/>
      <c r="E43" s="154">
        <v>39.931449999999998</v>
      </c>
      <c r="F43" s="146">
        <f t="shared" si="1"/>
        <v>6.0163285662537813E-3</v>
      </c>
      <c r="G43" s="145"/>
      <c r="H43" s="154">
        <v>26.670985999999999</v>
      </c>
      <c r="I43" s="146">
        <f t="shared" si="2"/>
        <v>2.8918484622287854E-2</v>
      </c>
      <c r="J43" s="145"/>
      <c r="K43" s="154">
        <v>120.066101</v>
      </c>
      <c r="L43" s="146">
        <f t="shared" si="3"/>
        <v>1.2119144192303422E-2</v>
      </c>
      <c r="M43" s="145"/>
      <c r="N43" s="154">
        <v>35.825001</v>
      </c>
      <c r="O43" s="146">
        <f t="shared" si="4"/>
        <v>3.450765132810707E-2</v>
      </c>
    </row>
    <row r="44" spans="1:15">
      <c r="A44" s="151">
        <v>44025</v>
      </c>
      <c r="B44" s="154">
        <v>12402.740234000001</v>
      </c>
      <c r="C44" s="146">
        <f t="shared" si="0"/>
        <v>2.7092707256029858E-2</v>
      </c>
      <c r="D44" s="145"/>
      <c r="E44" s="154">
        <v>41.408428000000001</v>
      </c>
      <c r="F44" s="146">
        <f t="shared" si="1"/>
        <v>3.6987837907213494E-2</v>
      </c>
      <c r="G44" s="145"/>
      <c r="H44" s="154">
        <v>27.200749999999999</v>
      </c>
      <c r="I44" s="146">
        <f t="shared" si="2"/>
        <v>1.9862932701475655E-2</v>
      </c>
      <c r="J44" s="145"/>
      <c r="K44" s="154">
        <v>120.244675</v>
      </c>
      <c r="L44" s="146">
        <f t="shared" si="3"/>
        <v>1.4872974012873907E-3</v>
      </c>
      <c r="M44" s="145"/>
      <c r="N44" s="154">
        <v>37.110000999999997</v>
      </c>
      <c r="O44" s="146">
        <f t="shared" si="4"/>
        <v>3.5868805698009432E-2</v>
      </c>
    </row>
    <row r="45" spans="1:15">
      <c r="A45" s="151">
        <v>44032</v>
      </c>
      <c r="B45" s="154">
        <v>12461.780273</v>
      </c>
      <c r="C45" s="146">
        <f t="shared" si="0"/>
        <v>4.7602415180922897E-3</v>
      </c>
      <c r="D45" s="145"/>
      <c r="E45" s="154">
        <v>42.885390999999998</v>
      </c>
      <c r="F45" s="146">
        <f t="shared" si="1"/>
        <v>3.5668173638467859E-2</v>
      </c>
      <c r="G45" s="145"/>
      <c r="H45" s="154">
        <v>27.712247999999999</v>
      </c>
      <c r="I45" s="146">
        <f t="shared" si="2"/>
        <v>1.8804555021460834E-2</v>
      </c>
      <c r="J45" s="145"/>
      <c r="K45" s="154">
        <v>121.49482</v>
      </c>
      <c r="L45" s="146">
        <f t="shared" si="3"/>
        <v>1.0396676609587985E-2</v>
      </c>
      <c r="M45" s="145"/>
      <c r="N45" s="154">
        <v>37.439999</v>
      </c>
      <c r="O45" s="146">
        <f t="shared" si="4"/>
        <v>8.892427677380077E-3</v>
      </c>
    </row>
    <row r="46" spans="1:15">
      <c r="A46" s="151">
        <v>44039</v>
      </c>
      <c r="B46" s="154">
        <v>12465.049805000001</v>
      </c>
      <c r="C46" s="146">
        <f t="shared" si="0"/>
        <v>2.6236476076246795E-4</v>
      </c>
      <c r="D46" s="145"/>
      <c r="E46" s="154">
        <v>41.779881000000003</v>
      </c>
      <c r="F46" s="146">
        <f t="shared" si="1"/>
        <v>-2.5778242292346043E-2</v>
      </c>
      <c r="G46" s="145"/>
      <c r="H46" s="154">
        <v>27.940601000000001</v>
      </c>
      <c r="I46" s="146">
        <f t="shared" si="2"/>
        <v>8.240147100300188E-3</v>
      </c>
      <c r="J46" s="145"/>
      <c r="K46" s="154">
        <v>122.923508</v>
      </c>
      <c r="L46" s="146">
        <f t="shared" si="3"/>
        <v>1.1759250312070924E-2</v>
      </c>
      <c r="M46" s="145"/>
      <c r="N46" s="154">
        <v>39.240001999999997</v>
      </c>
      <c r="O46" s="146">
        <f t="shared" si="4"/>
        <v>4.8077004489236241E-2</v>
      </c>
    </row>
    <row r="47" spans="1:15">
      <c r="A47" s="151">
        <v>44046</v>
      </c>
      <c r="B47" s="154">
        <v>12765.839844</v>
      </c>
      <c r="C47" s="146">
        <f t="shared" si="0"/>
        <v>2.4130672857748614E-2</v>
      </c>
      <c r="D47" s="145"/>
      <c r="E47" s="154">
        <v>42.275145999999999</v>
      </c>
      <c r="F47" s="146">
        <f t="shared" si="1"/>
        <v>1.1854150565914656E-2</v>
      </c>
      <c r="G47" s="145"/>
      <c r="H47" s="154">
        <v>27.063744</v>
      </c>
      <c r="I47" s="146">
        <f t="shared" si="2"/>
        <v>-3.1382896881853029E-2</v>
      </c>
      <c r="J47" s="145"/>
      <c r="K47" s="154">
        <v>122.102013</v>
      </c>
      <c r="L47" s="146">
        <f t="shared" si="3"/>
        <v>-6.6829771893590628E-3</v>
      </c>
      <c r="M47" s="145"/>
      <c r="N47" s="154">
        <v>41.595001000000003</v>
      </c>
      <c r="O47" s="146">
        <f t="shared" si="4"/>
        <v>6.0015261976796186E-2</v>
      </c>
    </row>
    <row r="48" spans="1:15">
      <c r="A48" s="151">
        <v>44053</v>
      </c>
      <c r="B48" s="154">
        <v>12902.5</v>
      </c>
      <c r="C48" s="146">
        <f t="shared" si="0"/>
        <v>1.0705144171476499E-2</v>
      </c>
      <c r="D48" s="145"/>
      <c r="E48" s="154">
        <v>42.850020999999998</v>
      </c>
      <c r="F48" s="146">
        <f t="shared" si="1"/>
        <v>1.3598415485070126E-2</v>
      </c>
      <c r="G48" s="145"/>
      <c r="H48" s="154">
        <v>27.301226</v>
      </c>
      <c r="I48" s="146">
        <f t="shared" si="2"/>
        <v>8.774913034944376E-3</v>
      </c>
      <c r="J48" s="145"/>
      <c r="K48" s="154">
        <v>122.834221</v>
      </c>
      <c r="L48" s="146">
        <f t="shared" si="3"/>
        <v>5.9966906524300256E-3</v>
      </c>
      <c r="M48" s="145"/>
      <c r="N48" s="154">
        <v>41.66</v>
      </c>
      <c r="O48" s="146">
        <f t="shared" si="4"/>
        <v>1.5626637441357172E-3</v>
      </c>
    </row>
    <row r="49" spans="1:15">
      <c r="A49" s="151">
        <v>44060</v>
      </c>
      <c r="B49" s="154">
        <v>12809.070313</v>
      </c>
      <c r="C49" s="146">
        <f t="shared" si="0"/>
        <v>-7.2412080604533635E-3</v>
      </c>
      <c r="D49" s="145"/>
      <c r="E49" s="154">
        <v>41.815246999999999</v>
      </c>
      <c r="F49" s="146">
        <f t="shared" si="1"/>
        <v>-2.4148739623721549E-2</v>
      </c>
      <c r="G49" s="145"/>
      <c r="H49" s="154">
        <v>26.424368000000001</v>
      </c>
      <c r="I49" s="146">
        <f t="shared" si="2"/>
        <v>-3.2117898295116798E-2</v>
      </c>
      <c r="J49" s="145"/>
      <c r="K49" s="154">
        <v>121.85198200000001</v>
      </c>
      <c r="L49" s="146">
        <f t="shared" si="3"/>
        <v>-7.9964605303272096E-3</v>
      </c>
      <c r="M49" s="145"/>
      <c r="N49" s="154">
        <v>41.365001999999997</v>
      </c>
      <c r="O49" s="146">
        <f t="shared" si="4"/>
        <v>-7.0810849735957193E-3</v>
      </c>
    </row>
    <row r="50" spans="1:15">
      <c r="A50" s="151">
        <v>44067</v>
      </c>
      <c r="B50" s="154">
        <v>13170.959961</v>
      </c>
      <c r="C50" s="146">
        <f t="shared" si="0"/>
        <v>2.8252608437375537E-2</v>
      </c>
      <c r="D50" s="145"/>
      <c r="E50" s="154">
        <v>44.070518</v>
      </c>
      <c r="F50" s="146">
        <f t="shared" si="1"/>
        <v>5.3934178602364824E-2</v>
      </c>
      <c r="G50" s="145"/>
      <c r="H50" s="154">
        <v>27.465634999999999</v>
      </c>
      <c r="I50" s="146">
        <f t="shared" si="2"/>
        <v>3.9405559292846615E-2</v>
      </c>
      <c r="J50" s="145"/>
      <c r="K50" s="154">
        <v>124.95945</v>
      </c>
      <c r="L50" s="146">
        <f t="shared" si="3"/>
        <v>2.5501989782981127E-2</v>
      </c>
      <c r="M50" s="145"/>
      <c r="N50" s="154">
        <v>42.27</v>
      </c>
      <c r="O50" s="146">
        <f t="shared" si="4"/>
        <v>2.1878350205325914E-2</v>
      </c>
    </row>
    <row r="51" spans="1:15">
      <c r="A51" s="151">
        <v>44074</v>
      </c>
      <c r="B51" s="154">
        <v>12966.139648</v>
      </c>
      <c r="C51" s="146">
        <f t="shared" si="0"/>
        <v>-1.5550902410035872E-2</v>
      </c>
      <c r="D51" s="145"/>
      <c r="E51" s="154">
        <v>45.140663000000004</v>
      </c>
      <c r="F51" s="146">
        <f t="shared" si="1"/>
        <v>2.4282560055227886E-2</v>
      </c>
      <c r="G51" s="145"/>
      <c r="H51" s="154">
        <v>26.981536999999999</v>
      </c>
      <c r="I51" s="146">
        <f t="shared" si="2"/>
        <v>-1.7625589213575377E-2</v>
      </c>
      <c r="J51" s="145"/>
      <c r="K51" s="154">
        <v>123.905754</v>
      </c>
      <c r="L51" s="146">
        <f t="shared" si="3"/>
        <v>-8.4323034392357332E-3</v>
      </c>
      <c r="M51" s="145"/>
      <c r="N51" s="154">
        <v>41.134998000000003</v>
      </c>
      <c r="O51" s="146">
        <f t="shared" si="4"/>
        <v>-2.6851242015613952E-2</v>
      </c>
    </row>
    <row r="52" spans="1:15">
      <c r="A52" s="151">
        <v>44081</v>
      </c>
      <c r="B52" s="154">
        <v>12773.040039</v>
      </c>
      <c r="C52" s="146">
        <f t="shared" si="0"/>
        <v>-1.489260599084985E-2</v>
      </c>
      <c r="D52" s="145"/>
      <c r="E52" s="154">
        <v>45.158347999999997</v>
      </c>
      <c r="F52" s="146">
        <f t="shared" si="1"/>
        <v>3.9177537113244121E-4</v>
      </c>
      <c r="G52" s="145"/>
      <c r="H52" s="154">
        <v>26.333029</v>
      </c>
      <c r="I52" s="146">
        <f t="shared" si="2"/>
        <v>-2.4035250475167524E-2</v>
      </c>
      <c r="J52" s="145"/>
      <c r="K52" s="154">
        <v>122.143608</v>
      </c>
      <c r="L52" s="146">
        <f t="shared" si="3"/>
        <v>-1.4221663991488276E-2</v>
      </c>
      <c r="M52" s="145"/>
      <c r="N52" s="154">
        <v>40.669998</v>
      </c>
      <c r="O52" s="146">
        <f t="shared" si="4"/>
        <v>-1.1304242679190168E-2</v>
      </c>
    </row>
    <row r="53" spans="1:15">
      <c r="A53" s="151">
        <v>44088</v>
      </c>
      <c r="B53" s="154">
        <v>12833.570313</v>
      </c>
      <c r="C53" s="146">
        <f t="shared" si="0"/>
        <v>4.7389089688267827E-3</v>
      </c>
      <c r="D53" s="145"/>
      <c r="E53" s="154">
        <v>44.618858000000003</v>
      </c>
      <c r="F53" s="146">
        <f t="shared" si="1"/>
        <v>-1.1946628339902787E-2</v>
      </c>
      <c r="G53" s="145"/>
      <c r="H53" s="154">
        <v>25.620591999999998</v>
      </c>
      <c r="I53" s="146">
        <f t="shared" si="2"/>
        <v>-2.7054882292500415E-2</v>
      </c>
      <c r="J53" s="145"/>
      <c r="K53" s="154">
        <v>118.240341</v>
      </c>
      <c r="L53" s="146">
        <f t="shared" si="3"/>
        <v>-3.1956375482211086E-2</v>
      </c>
      <c r="M53" s="145"/>
      <c r="N53" s="154">
        <v>39.494999</v>
      </c>
      <c r="O53" s="146">
        <f t="shared" si="4"/>
        <v>-2.8891051334696383E-2</v>
      </c>
    </row>
    <row r="54" spans="1:15">
      <c r="A54" s="151">
        <v>44095</v>
      </c>
      <c r="B54" s="154">
        <v>12485.379883</v>
      </c>
      <c r="C54" s="146">
        <f t="shared" si="0"/>
        <v>-2.7131220814467727E-2</v>
      </c>
      <c r="D54" s="145"/>
      <c r="E54" s="154">
        <v>43.437607</v>
      </c>
      <c r="F54" s="146">
        <f t="shared" si="1"/>
        <v>-2.6474254450887136E-2</v>
      </c>
      <c r="G54" s="145"/>
      <c r="H54" s="154">
        <v>25.465312999999998</v>
      </c>
      <c r="I54" s="146">
        <f t="shared" si="2"/>
        <v>-6.0607108532074738E-3</v>
      </c>
      <c r="J54" s="145"/>
      <c r="K54" s="154">
        <v>120.11101499999999</v>
      </c>
      <c r="L54" s="146">
        <f t="shared" si="3"/>
        <v>1.5820945577279755E-2</v>
      </c>
      <c r="M54" s="145"/>
      <c r="N54" s="154">
        <v>39.395000000000003</v>
      </c>
      <c r="O54" s="146">
        <f t="shared" si="4"/>
        <v>-2.531940816101752E-3</v>
      </c>
    </row>
    <row r="55" spans="1:15">
      <c r="A55" s="151">
        <v>44102</v>
      </c>
      <c r="B55" s="154">
        <v>12749.790039</v>
      </c>
      <c r="C55" s="146">
        <f t="shared" si="0"/>
        <v>2.117758197810371E-2</v>
      </c>
      <c r="D55" s="145"/>
      <c r="E55" s="154">
        <v>44.008217000000002</v>
      </c>
      <c r="F55" s="146">
        <f t="shared" si="1"/>
        <v>1.3136312964938446E-2</v>
      </c>
      <c r="G55" s="145"/>
      <c r="H55" s="154">
        <v>25.657124</v>
      </c>
      <c r="I55" s="146">
        <f t="shared" si="2"/>
        <v>7.5322459221294213E-3</v>
      </c>
      <c r="J55" s="145"/>
      <c r="K55" s="154">
        <v>124.167191</v>
      </c>
      <c r="L55" s="146">
        <f t="shared" si="3"/>
        <v>3.3770224987275332E-2</v>
      </c>
      <c r="M55" s="145"/>
      <c r="N55" s="154">
        <v>39.775002000000001</v>
      </c>
      <c r="O55" s="146">
        <f t="shared" si="4"/>
        <v>9.6459449168675437E-3</v>
      </c>
    </row>
    <row r="56" spans="1:15">
      <c r="A56" s="151">
        <v>44109</v>
      </c>
      <c r="B56" s="154">
        <v>13252.620117</v>
      </c>
      <c r="C56" s="146">
        <f t="shared" si="0"/>
        <v>3.9438302627879063E-2</v>
      </c>
      <c r="D56" s="145"/>
      <c r="E56" s="154">
        <v>45.301006000000001</v>
      </c>
      <c r="F56" s="146">
        <f t="shared" si="1"/>
        <v>2.9376082198467657E-2</v>
      </c>
      <c r="G56" s="145"/>
      <c r="H56" s="154">
        <v>26.862649999999999</v>
      </c>
      <c r="I56" s="146">
        <f t="shared" si="2"/>
        <v>4.6986014488607397E-2</v>
      </c>
      <c r="J56" s="145"/>
      <c r="K56" s="154">
        <v>124.508934</v>
      </c>
      <c r="L56" s="146">
        <f t="shared" si="3"/>
        <v>2.7522809950657479E-3</v>
      </c>
      <c r="M56" s="145"/>
      <c r="N56" s="154">
        <v>40.474997999999999</v>
      </c>
      <c r="O56" s="146">
        <f t="shared" si="4"/>
        <v>1.7598892892576101E-2</v>
      </c>
    </row>
    <row r="57" spans="1:15">
      <c r="A57" s="151">
        <v>44116</v>
      </c>
      <c r="B57" s="154">
        <v>13169.320313</v>
      </c>
      <c r="C57" s="146">
        <f t="shared" si="0"/>
        <v>-6.285534729328468E-3</v>
      </c>
      <c r="D57" s="145"/>
      <c r="E57" s="154">
        <v>44.605567999999998</v>
      </c>
      <c r="F57" s="146">
        <f t="shared" si="1"/>
        <v>-1.5351491311252574E-2</v>
      </c>
      <c r="G57" s="145"/>
      <c r="H57" s="154">
        <v>27.331022000000001</v>
      </c>
      <c r="I57" s="146">
        <f t="shared" si="2"/>
        <v>1.7435807710706186E-2</v>
      </c>
      <c r="J57" s="145"/>
      <c r="K57" s="154">
        <v>127.467865</v>
      </c>
      <c r="L57" s="146">
        <f t="shared" si="3"/>
        <v>2.3764808716457253E-2</v>
      </c>
      <c r="M57" s="145"/>
      <c r="N57" s="154">
        <v>40.380001</v>
      </c>
      <c r="O57" s="146">
        <f t="shared" si="4"/>
        <v>-2.3470538528500562E-3</v>
      </c>
    </row>
    <row r="58" spans="1:15">
      <c r="A58" s="151">
        <v>44123</v>
      </c>
      <c r="B58" s="154">
        <v>13199.860352</v>
      </c>
      <c r="C58" s="146">
        <f t="shared" si="0"/>
        <v>2.3190292493571185E-3</v>
      </c>
      <c r="D58" s="145"/>
      <c r="E58" s="154">
        <v>45.042445999999998</v>
      </c>
      <c r="F58" s="146">
        <f t="shared" si="1"/>
        <v>9.7942481082182731E-3</v>
      </c>
      <c r="G58" s="145"/>
      <c r="H58" s="154">
        <v>26.825914000000001</v>
      </c>
      <c r="I58" s="146">
        <f t="shared" si="2"/>
        <v>-1.8481123757465023E-2</v>
      </c>
      <c r="J58" s="145"/>
      <c r="K58" s="154">
        <v>125.516251</v>
      </c>
      <c r="L58" s="146">
        <f t="shared" si="3"/>
        <v>-1.5310635351113877E-2</v>
      </c>
      <c r="M58" s="145"/>
      <c r="N58" s="154">
        <v>40.195</v>
      </c>
      <c r="O58" s="146">
        <f t="shared" si="4"/>
        <v>-4.5815006294823712E-3</v>
      </c>
    </row>
    <row r="59" spans="1:15">
      <c r="A59" s="151">
        <v>44130</v>
      </c>
      <c r="B59" s="154">
        <v>12429.330078000001</v>
      </c>
      <c r="C59" s="146">
        <f t="shared" si="0"/>
        <v>-5.8374123168905334E-2</v>
      </c>
      <c r="D59" s="145"/>
      <c r="E59" s="154">
        <v>42.849173999999998</v>
      </c>
      <c r="F59" s="146">
        <f t="shared" si="1"/>
        <v>-4.8693447953514823E-2</v>
      </c>
      <c r="G59" s="145"/>
      <c r="H59" s="154">
        <v>24.704453999999998</v>
      </c>
      <c r="I59" s="146">
        <f t="shared" si="2"/>
        <v>-7.9082487180120009E-2</v>
      </c>
      <c r="J59" s="145"/>
      <c r="K59" s="154">
        <v>119.877182</v>
      </c>
      <c r="L59" s="146">
        <f t="shared" si="3"/>
        <v>-4.4927003117707809E-2</v>
      </c>
      <c r="M59" s="145"/>
      <c r="N59" s="154">
        <v>38.284999999999997</v>
      </c>
      <c r="O59" s="146">
        <f t="shared" si="4"/>
        <v>-4.7518348053240511E-2</v>
      </c>
    </row>
    <row r="60" spans="1:15">
      <c r="A60" s="151">
        <v>44137</v>
      </c>
      <c r="B60" s="154">
        <v>13218.669921999999</v>
      </c>
      <c r="C60" s="146">
        <f t="shared" si="0"/>
        <v>6.3506225922596915E-2</v>
      </c>
      <c r="D60" s="145"/>
      <c r="E60" s="154">
        <v>44.088455000000003</v>
      </c>
      <c r="F60" s="146">
        <f t="shared" si="1"/>
        <v>2.8921934411151096E-2</v>
      </c>
      <c r="G60" s="145"/>
      <c r="H60" s="154">
        <v>26.320805</v>
      </c>
      <c r="I60" s="146">
        <f t="shared" si="2"/>
        <v>6.5427513597345666E-2</v>
      </c>
      <c r="J60" s="145"/>
      <c r="K60" s="154">
        <v>124.454994</v>
      </c>
      <c r="L60" s="146">
        <f t="shared" si="3"/>
        <v>3.8187517621159905E-2</v>
      </c>
      <c r="M60" s="145"/>
      <c r="N60" s="154">
        <v>41.630001</v>
      </c>
      <c r="O60" s="146">
        <f t="shared" si="4"/>
        <v>8.7371059161551523E-2</v>
      </c>
    </row>
    <row r="61" spans="1:15">
      <c r="A61" s="151">
        <v>44144</v>
      </c>
      <c r="B61" s="154">
        <v>13761.320313</v>
      </c>
      <c r="C61" s="146">
        <f t="shared" si="0"/>
        <v>4.1051814910429085E-2</v>
      </c>
      <c r="D61" s="145"/>
      <c r="E61" s="154">
        <v>47.654766000000002</v>
      </c>
      <c r="F61" s="146">
        <f t="shared" si="1"/>
        <v>8.0889906439225445E-2</v>
      </c>
      <c r="G61" s="145"/>
      <c r="H61" s="154">
        <v>26.908567000000001</v>
      </c>
      <c r="I61" s="146">
        <f t="shared" ref="I61:I124" si="5">H61/H60-1</f>
        <v>2.2330699991888636E-2</v>
      </c>
      <c r="J61" s="145"/>
      <c r="K61" s="154">
        <v>130.14801</v>
      </c>
      <c r="L61" s="146">
        <f t="shared" ref="L61:L124" si="6">K61/K60-1</f>
        <v>4.5743572170354296E-2</v>
      </c>
      <c r="M61" s="145"/>
      <c r="N61" s="154">
        <v>42.009998000000003</v>
      </c>
      <c r="O61" s="146">
        <f t="shared" ref="O61:O124" si="7">N61/N60-1</f>
        <v>9.1279603860687786E-3</v>
      </c>
    </row>
    <row r="62" spans="1:15">
      <c r="A62" s="151">
        <v>44151</v>
      </c>
      <c r="B62" s="154">
        <v>13827</v>
      </c>
      <c r="C62" s="146">
        <f t="shared" ref="C62:F125" si="8">B62/B61-1</f>
        <v>4.7727751048678435E-3</v>
      </c>
      <c r="D62" s="145"/>
      <c r="E62" s="154">
        <v>46.959332000000003</v>
      </c>
      <c r="F62" s="146">
        <f t="shared" si="8"/>
        <v>-1.459316786908571E-2</v>
      </c>
      <c r="G62" s="145"/>
      <c r="H62" s="154">
        <v>27.404499000000001</v>
      </c>
      <c r="I62" s="146">
        <f t="shared" si="5"/>
        <v>1.8430264235178351E-2</v>
      </c>
      <c r="J62" s="145"/>
      <c r="K62" s="154">
        <v>128.98783900000001</v>
      </c>
      <c r="L62" s="146">
        <f t="shared" si="6"/>
        <v>-8.9142430990684085E-3</v>
      </c>
      <c r="M62" s="145"/>
      <c r="N62" s="154">
        <v>41.759998000000003</v>
      </c>
      <c r="O62" s="146">
        <f t="shared" si="7"/>
        <v>-5.95096433948894E-3</v>
      </c>
    </row>
    <row r="63" spans="1:15">
      <c r="A63" s="151">
        <v>44158</v>
      </c>
      <c r="B63" s="154">
        <v>14198.5</v>
      </c>
      <c r="C63" s="146">
        <f t="shared" si="8"/>
        <v>2.6867722571779939E-2</v>
      </c>
      <c r="D63" s="145"/>
      <c r="E63" s="154">
        <v>46.986075999999997</v>
      </c>
      <c r="F63" s="146">
        <f t="shared" si="8"/>
        <v>5.695140637860252E-4</v>
      </c>
      <c r="G63" s="145"/>
      <c r="H63" s="154">
        <v>28.249404999999999</v>
      </c>
      <c r="I63" s="146">
        <f t="shared" si="5"/>
        <v>3.0830923053911663E-2</v>
      </c>
      <c r="J63" s="145"/>
      <c r="K63" s="154">
        <v>130.049103</v>
      </c>
      <c r="L63" s="146">
        <f t="shared" si="6"/>
        <v>8.2276283425446461E-3</v>
      </c>
      <c r="M63" s="145"/>
      <c r="N63" s="154">
        <v>42.075001</v>
      </c>
      <c r="O63" s="146">
        <f t="shared" si="7"/>
        <v>7.5431756486195045E-3</v>
      </c>
    </row>
    <row r="64" spans="1:15">
      <c r="A64" s="151">
        <v>44165</v>
      </c>
      <c r="B64" s="154">
        <v>14417.330078000001</v>
      </c>
      <c r="C64" s="146">
        <f t="shared" si="8"/>
        <v>1.5412196922210075E-2</v>
      </c>
      <c r="D64" s="145"/>
      <c r="E64" s="154">
        <v>48.011395</v>
      </c>
      <c r="F64" s="146">
        <f t="shared" si="8"/>
        <v>2.1821762685609203E-2</v>
      </c>
      <c r="G64" s="145"/>
      <c r="H64" s="154">
        <v>28.038177000000001</v>
      </c>
      <c r="I64" s="146">
        <f t="shared" si="5"/>
        <v>-7.4772548306769604E-3</v>
      </c>
      <c r="J64" s="145"/>
      <c r="K64" s="154">
        <v>131.17330899999999</v>
      </c>
      <c r="L64" s="146">
        <f t="shared" si="6"/>
        <v>8.6444733109769523E-3</v>
      </c>
      <c r="M64" s="145"/>
      <c r="N64" s="154">
        <v>43.720001000000003</v>
      </c>
      <c r="O64" s="146">
        <f t="shared" si="7"/>
        <v>3.9096849932338751E-2</v>
      </c>
    </row>
    <row r="65" spans="1:15">
      <c r="A65" s="151">
        <v>44172</v>
      </c>
      <c r="B65" s="154">
        <v>14355.290039</v>
      </c>
      <c r="C65" s="146">
        <f t="shared" si="8"/>
        <v>-4.3031572880939395E-3</v>
      </c>
      <c r="D65" s="145"/>
      <c r="E65" s="154">
        <v>47.938567999999997</v>
      </c>
      <c r="F65" s="146">
        <f t="shared" si="8"/>
        <v>-1.5168690682701991E-3</v>
      </c>
      <c r="G65" s="145"/>
      <c r="H65" s="154">
        <v>27.882051000000001</v>
      </c>
      <c r="I65" s="146">
        <f t="shared" si="5"/>
        <v>-5.5683363436931366E-3</v>
      </c>
      <c r="J65" s="145"/>
      <c r="K65" s="154">
        <v>131.310699</v>
      </c>
      <c r="L65" s="146">
        <f t="shared" si="6"/>
        <v>1.0473929570535834E-3</v>
      </c>
      <c r="M65" s="145"/>
      <c r="N65" s="154">
        <v>44.009998000000003</v>
      </c>
      <c r="O65" s="146">
        <f t="shared" si="7"/>
        <v>6.6330510834160528E-3</v>
      </c>
    </row>
    <row r="66" spans="1:15">
      <c r="A66" s="151">
        <v>44179</v>
      </c>
      <c r="B66" s="154">
        <v>14467.820313</v>
      </c>
      <c r="C66" s="146">
        <f t="shared" si="8"/>
        <v>7.8389411634514072E-3</v>
      </c>
      <c r="D66" s="145"/>
      <c r="E66" s="154">
        <v>48.289009</v>
      </c>
      <c r="F66" s="146">
        <f t="shared" si="8"/>
        <v>7.3102100171202888E-3</v>
      </c>
      <c r="G66" s="145"/>
      <c r="H66" s="154">
        <v>28.405526999999999</v>
      </c>
      <c r="I66" s="146">
        <f t="shared" si="5"/>
        <v>1.8774659009123784E-2</v>
      </c>
      <c r="J66" s="145"/>
      <c r="K66" s="154">
        <v>133.086029</v>
      </c>
      <c r="L66" s="146">
        <f t="shared" si="6"/>
        <v>1.3520071201509554E-2</v>
      </c>
      <c r="M66" s="145"/>
      <c r="N66" s="154">
        <v>45.064999</v>
      </c>
      <c r="O66" s="146">
        <f t="shared" si="7"/>
        <v>2.3971848396811879E-2</v>
      </c>
    </row>
    <row r="67" spans="1:15">
      <c r="A67" s="151">
        <v>44186</v>
      </c>
      <c r="B67" s="154">
        <v>14382.5</v>
      </c>
      <c r="C67" s="146">
        <f t="shared" si="8"/>
        <v>-5.8972472116850527E-3</v>
      </c>
      <c r="D67" s="145"/>
      <c r="E67" s="154">
        <v>48.019432000000002</v>
      </c>
      <c r="F67" s="146">
        <f t="shared" si="8"/>
        <v>-5.5825747014190963E-3</v>
      </c>
      <c r="G67" s="145"/>
      <c r="H67" s="154">
        <v>29.277988000000001</v>
      </c>
      <c r="I67" s="146">
        <f t="shared" si="5"/>
        <v>3.0714480319270265E-2</v>
      </c>
      <c r="J67" s="145"/>
      <c r="K67" s="154">
        <v>131.39219700000001</v>
      </c>
      <c r="L67" s="146">
        <f t="shared" si="6"/>
        <v>-1.2727346459484368E-2</v>
      </c>
      <c r="M67" s="145"/>
      <c r="N67" s="154">
        <v>44.904998999999997</v>
      </c>
      <c r="O67" s="146">
        <f t="shared" si="7"/>
        <v>-3.5504272395524561E-3</v>
      </c>
    </row>
    <row r="68" spans="1:15">
      <c r="A68" s="151">
        <v>44193</v>
      </c>
      <c r="B68" s="154">
        <v>14524.799805000001</v>
      </c>
      <c r="C68" s="146">
        <f t="shared" si="8"/>
        <v>9.8939548061880433E-3</v>
      </c>
      <c r="D68" s="145"/>
      <c r="E68" s="154">
        <v>49.277424000000003</v>
      </c>
      <c r="F68" s="146">
        <f t="shared" si="8"/>
        <v>2.6197561020713467E-2</v>
      </c>
      <c r="G68" s="145"/>
      <c r="H68" s="154">
        <v>29.388203000000001</v>
      </c>
      <c r="I68" s="146">
        <f t="shared" si="5"/>
        <v>3.7644321734129349E-3</v>
      </c>
      <c r="J68" s="145"/>
      <c r="K68" s="154">
        <v>134.32695000000001</v>
      </c>
      <c r="L68" s="146">
        <f t="shared" si="6"/>
        <v>2.2335824097682089E-2</v>
      </c>
      <c r="M68" s="145"/>
      <c r="N68" s="154">
        <v>46.240001999999997</v>
      </c>
      <c r="O68" s="146">
        <f t="shared" si="7"/>
        <v>2.9729496263879218E-2</v>
      </c>
    </row>
    <row r="69" spans="1:15">
      <c r="A69" s="151">
        <v>44200</v>
      </c>
      <c r="B69" s="154">
        <v>14966.830078000001</v>
      </c>
      <c r="C69" s="146">
        <f t="shared" si="8"/>
        <v>3.0432796247410909E-2</v>
      </c>
      <c r="D69" s="145"/>
      <c r="E69" s="154">
        <v>45.898814999999999</v>
      </c>
      <c r="F69" s="146">
        <f t="shared" si="8"/>
        <v>-6.8563019852661222E-2</v>
      </c>
      <c r="G69" s="145"/>
      <c r="H69" s="154">
        <v>29.388203000000001</v>
      </c>
      <c r="I69" s="146">
        <f t="shared" si="5"/>
        <v>0</v>
      </c>
      <c r="J69" s="145"/>
      <c r="K69" s="154">
        <v>130.595123</v>
      </c>
      <c r="L69" s="146">
        <f t="shared" si="6"/>
        <v>-2.7781670022285265E-2</v>
      </c>
      <c r="M69" s="145"/>
      <c r="N69" s="154">
        <v>47.494999</v>
      </c>
      <c r="O69" s="146">
        <f t="shared" si="7"/>
        <v>2.714093740739898E-2</v>
      </c>
    </row>
    <row r="70" spans="1:15">
      <c r="A70" s="151">
        <v>44207</v>
      </c>
      <c r="B70" s="154">
        <v>14894.169921999999</v>
      </c>
      <c r="C70" s="146">
        <f t="shared" si="8"/>
        <v>-4.8547458360475026E-3</v>
      </c>
      <c r="D70" s="145"/>
      <c r="E70" s="154">
        <v>43.760227</v>
      </c>
      <c r="F70" s="146">
        <f t="shared" si="8"/>
        <v>-4.6593534059648389E-2</v>
      </c>
      <c r="G70" s="145"/>
      <c r="H70" s="154">
        <v>29.39847</v>
      </c>
      <c r="I70" s="146">
        <f t="shared" si="5"/>
        <v>3.4935786989076512E-4</v>
      </c>
      <c r="J70" s="145"/>
      <c r="K70" s="154">
        <v>128.06802400000001</v>
      </c>
      <c r="L70" s="146">
        <f t="shared" si="6"/>
        <v>-1.9350638384865171E-2</v>
      </c>
      <c r="M70" s="145"/>
      <c r="N70" s="154">
        <v>45.825001</v>
      </c>
      <c r="O70" s="146">
        <f t="shared" si="7"/>
        <v>-3.5161554588094668E-2</v>
      </c>
    </row>
    <row r="71" spans="1:15">
      <c r="A71" s="151">
        <v>44214</v>
      </c>
      <c r="B71" s="154">
        <v>14951.839844</v>
      </c>
      <c r="C71" s="146">
        <f t="shared" si="8"/>
        <v>3.8719795934929468E-3</v>
      </c>
      <c r="D71" s="145"/>
      <c r="E71" s="154">
        <v>43.571517999999998</v>
      </c>
      <c r="F71" s="146">
        <f t="shared" si="8"/>
        <v>-4.3123405187089903E-3</v>
      </c>
      <c r="G71" s="145"/>
      <c r="H71" s="154">
        <v>29.038599000000001</v>
      </c>
      <c r="I71" s="146">
        <f t="shared" si="5"/>
        <v>-1.2241147243376882E-2</v>
      </c>
      <c r="J71" s="145"/>
      <c r="K71" s="154">
        <v>125.53182200000001</v>
      </c>
      <c r="L71" s="146">
        <f t="shared" si="6"/>
        <v>-1.9803553773891314E-2</v>
      </c>
      <c r="M71" s="145"/>
      <c r="N71" s="154">
        <v>44.099997999999999</v>
      </c>
      <c r="O71" s="146">
        <f t="shared" si="7"/>
        <v>-3.7643272500965108E-2</v>
      </c>
    </row>
    <row r="72" spans="1:15">
      <c r="A72" s="151">
        <v>44221</v>
      </c>
      <c r="B72" s="154">
        <v>14397.200194999999</v>
      </c>
      <c r="C72" s="146">
        <f t="shared" si="8"/>
        <v>-3.7095076912729952E-2</v>
      </c>
      <c r="D72" s="145"/>
      <c r="E72" s="154">
        <v>43.266018000000003</v>
      </c>
      <c r="F72" s="146">
        <f t="shared" si="8"/>
        <v>-7.0114610190995519E-3</v>
      </c>
      <c r="G72" s="145"/>
      <c r="H72" s="154">
        <v>29.343105000000001</v>
      </c>
      <c r="I72" s="146">
        <f t="shared" si="5"/>
        <v>1.0486249698203443E-2</v>
      </c>
      <c r="J72" s="145"/>
      <c r="K72" s="154">
        <v>123.702164</v>
      </c>
      <c r="L72" s="146">
        <f t="shared" si="6"/>
        <v>-1.4575252480602208E-2</v>
      </c>
      <c r="M72" s="145"/>
      <c r="N72" s="154">
        <v>43.415000999999997</v>
      </c>
      <c r="O72" s="146">
        <f t="shared" si="7"/>
        <v>-1.553281249581917E-2</v>
      </c>
    </row>
    <row r="73" spans="1:15">
      <c r="A73" s="151">
        <v>44228</v>
      </c>
      <c r="B73" s="154">
        <v>15069.599609000001</v>
      </c>
      <c r="C73" s="146">
        <f t="shared" si="8"/>
        <v>4.6703484350625324E-2</v>
      </c>
      <c r="D73" s="145"/>
      <c r="E73" s="154">
        <v>44.613872999999998</v>
      </c>
      <c r="F73" s="146">
        <f t="shared" si="8"/>
        <v>3.1152739778363525E-2</v>
      </c>
      <c r="G73" s="145"/>
      <c r="H73" s="154">
        <v>30.016705999999999</v>
      </c>
      <c r="I73" s="146">
        <f t="shared" si="5"/>
        <v>2.2956023229307121E-2</v>
      </c>
      <c r="J73" s="145"/>
      <c r="K73" s="154">
        <v>127.678543</v>
      </c>
      <c r="L73" s="146">
        <f t="shared" si="6"/>
        <v>3.2144781234384912E-2</v>
      </c>
      <c r="M73" s="145"/>
      <c r="N73" s="154">
        <v>45.549999</v>
      </c>
      <c r="O73" s="146">
        <f t="shared" si="7"/>
        <v>4.9176504683254629E-2</v>
      </c>
    </row>
    <row r="74" spans="1:15">
      <c r="A74" s="151">
        <v>44235</v>
      </c>
      <c r="B74" s="154">
        <v>15369.599609000001</v>
      </c>
      <c r="C74" s="146">
        <f t="shared" si="8"/>
        <v>1.99076291198097E-2</v>
      </c>
      <c r="D74" s="145"/>
      <c r="E74" s="154">
        <v>45.548374000000003</v>
      </c>
      <c r="F74" s="146">
        <f t="shared" si="8"/>
        <v>2.0946421755403399E-2</v>
      </c>
      <c r="G74" s="145"/>
      <c r="H74" s="154">
        <v>29.315425999999999</v>
      </c>
      <c r="I74" s="146">
        <f t="shared" si="5"/>
        <v>-2.336298992967456E-2</v>
      </c>
      <c r="J74" s="145"/>
      <c r="K74" s="154">
        <v>121.256561</v>
      </c>
      <c r="L74" s="146">
        <f t="shared" si="6"/>
        <v>-5.0298052038391439E-2</v>
      </c>
      <c r="M74" s="145"/>
      <c r="N74" s="154">
        <v>45.865001999999997</v>
      </c>
      <c r="O74" s="146">
        <f t="shared" si="7"/>
        <v>6.9155435107692842E-3</v>
      </c>
    </row>
    <row r="75" spans="1:15">
      <c r="A75" s="151">
        <v>44242</v>
      </c>
      <c r="B75" s="154">
        <v>15362.690430000001</v>
      </c>
      <c r="C75" s="146">
        <f t="shared" si="8"/>
        <v>-4.495353929685475E-4</v>
      </c>
      <c r="D75" s="145"/>
      <c r="E75" s="154">
        <v>45.027206</v>
      </c>
      <c r="F75" s="146">
        <f t="shared" si="8"/>
        <v>-1.1442076944393254E-2</v>
      </c>
      <c r="G75" s="145"/>
      <c r="H75" s="154">
        <v>28.826370000000001</v>
      </c>
      <c r="I75" s="146">
        <f t="shared" si="5"/>
        <v>-1.6682547952739935E-2</v>
      </c>
      <c r="J75" s="145"/>
      <c r="K75" s="154">
        <v>120.02471199999999</v>
      </c>
      <c r="L75" s="146">
        <f t="shared" si="6"/>
        <v>-1.0159029662733188E-2</v>
      </c>
      <c r="M75" s="145"/>
      <c r="N75" s="154">
        <v>44.825001</v>
      </c>
      <c r="O75" s="146">
        <f t="shared" si="7"/>
        <v>-2.2675263374020926E-2</v>
      </c>
    </row>
    <row r="76" spans="1:15">
      <c r="A76" s="151">
        <v>44249</v>
      </c>
      <c r="B76" s="154">
        <v>15010.469727</v>
      </c>
      <c r="C76" s="146">
        <f t="shared" si="8"/>
        <v>-2.2927019496024603E-2</v>
      </c>
      <c r="D76" s="145"/>
      <c r="E76" s="154">
        <v>44.020809</v>
      </c>
      <c r="F76" s="146">
        <f t="shared" si="8"/>
        <v>-2.2350864941520054E-2</v>
      </c>
      <c r="G76" s="145"/>
      <c r="H76" s="154">
        <v>28.161997</v>
      </c>
      <c r="I76" s="146">
        <f t="shared" si="5"/>
        <v>-2.3047404165005947E-2</v>
      </c>
      <c r="J76" s="145"/>
      <c r="K76" s="154">
        <v>117.01752500000001</v>
      </c>
      <c r="L76" s="146">
        <f t="shared" si="6"/>
        <v>-2.5054732062177232E-2</v>
      </c>
      <c r="M76" s="145"/>
      <c r="N76" s="154">
        <v>43.869999</v>
      </c>
      <c r="O76" s="146">
        <f t="shared" si="7"/>
        <v>-2.1305119435468645E-2</v>
      </c>
    </row>
    <row r="77" spans="1:15">
      <c r="A77" s="151">
        <v>44256</v>
      </c>
      <c r="B77" s="154">
        <v>15251.830078000001</v>
      </c>
      <c r="C77" s="146">
        <f t="shared" si="8"/>
        <v>1.6079466891422811E-2</v>
      </c>
      <c r="D77" s="145"/>
      <c r="E77" s="154">
        <v>45.638236999999997</v>
      </c>
      <c r="F77" s="146">
        <f t="shared" si="8"/>
        <v>3.6742350646031818E-2</v>
      </c>
      <c r="G77" s="145"/>
      <c r="H77" s="154">
        <v>29.093966999999999</v>
      </c>
      <c r="I77" s="146">
        <f t="shared" si="5"/>
        <v>3.309317872592632E-2</v>
      </c>
      <c r="J77" s="145"/>
      <c r="K77" s="154">
        <v>120.495705</v>
      </c>
      <c r="L77" s="146">
        <f t="shared" si="6"/>
        <v>2.9723582001926596E-2</v>
      </c>
      <c r="M77" s="145"/>
      <c r="N77" s="154">
        <v>43.209999000000003</v>
      </c>
      <c r="O77" s="146">
        <f t="shared" si="7"/>
        <v>-1.5044449852848141E-2</v>
      </c>
    </row>
    <row r="78" spans="1:15">
      <c r="A78" s="151">
        <v>44263</v>
      </c>
      <c r="B78" s="154">
        <v>15715.209961</v>
      </c>
      <c r="C78" s="146">
        <f t="shared" si="8"/>
        <v>3.0381920112551031E-2</v>
      </c>
      <c r="D78" s="145"/>
      <c r="E78" s="154">
        <v>45.251849999999997</v>
      </c>
      <c r="F78" s="146">
        <f t="shared" si="8"/>
        <v>-8.4662998704353454E-3</v>
      </c>
      <c r="G78" s="145"/>
      <c r="H78" s="154">
        <v>30.791806999999999</v>
      </c>
      <c r="I78" s="146">
        <f t="shared" si="5"/>
        <v>5.8357115755304223E-2</v>
      </c>
      <c r="J78" s="145"/>
      <c r="K78" s="154">
        <v>121.46698000000001</v>
      </c>
      <c r="L78" s="146">
        <f t="shared" si="6"/>
        <v>8.0606607513520334E-3</v>
      </c>
      <c r="M78" s="145"/>
      <c r="N78" s="154">
        <v>44.470001000000003</v>
      </c>
      <c r="O78" s="146">
        <f t="shared" si="7"/>
        <v>2.9159963646377296E-2</v>
      </c>
    </row>
    <row r="79" spans="1:15">
      <c r="A79" s="151">
        <v>44270</v>
      </c>
      <c r="B79" s="154">
        <v>15562.259765999999</v>
      </c>
      <c r="C79" s="146">
        <f t="shared" si="8"/>
        <v>-9.7326217963090711E-3</v>
      </c>
      <c r="D79" s="145"/>
      <c r="E79" s="154">
        <v>46.036223999999997</v>
      </c>
      <c r="F79" s="146">
        <f t="shared" si="8"/>
        <v>1.7333523380812066E-2</v>
      </c>
      <c r="G79" s="145"/>
      <c r="H79" s="154">
        <v>31.502307999999999</v>
      </c>
      <c r="I79" s="146">
        <f t="shared" si="5"/>
        <v>2.3074352213236393E-2</v>
      </c>
      <c r="J79" s="145"/>
      <c r="K79" s="154">
        <v>122.79997299999999</v>
      </c>
      <c r="L79" s="146">
        <f t="shared" si="6"/>
        <v>1.0974118233613606E-2</v>
      </c>
      <c r="M79" s="145"/>
      <c r="N79" s="154">
        <v>43.959999000000003</v>
      </c>
      <c r="O79" s="146">
        <f t="shared" si="7"/>
        <v>-1.1468450382989603E-2</v>
      </c>
    </row>
    <row r="80" spans="1:15">
      <c r="A80" s="151">
        <v>44277</v>
      </c>
      <c r="B80" s="154">
        <v>15682.540039</v>
      </c>
      <c r="C80" s="146">
        <f t="shared" si="8"/>
        <v>7.7289721935360767E-3</v>
      </c>
      <c r="D80" s="145"/>
      <c r="E80" s="154">
        <v>48.056702000000001</v>
      </c>
      <c r="F80" s="146">
        <f t="shared" si="8"/>
        <v>4.3888873249031013E-2</v>
      </c>
      <c r="G80" s="145"/>
      <c r="H80" s="154">
        <v>32.517330000000001</v>
      </c>
      <c r="I80" s="146">
        <f t="shared" si="5"/>
        <v>3.2220559839615692E-2</v>
      </c>
      <c r="J80" s="145"/>
      <c r="K80" s="154">
        <v>130.286652</v>
      </c>
      <c r="L80" s="146">
        <f t="shared" si="6"/>
        <v>6.0966454772754863E-2</v>
      </c>
      <c r="M80" s="145"/>
      <c r="N80" s="154">
        <v>45.825001</v>
      </c>
      <c r="O80" s="146">
        <f t="shared" si="7"/>
        <v>4.242497821712865E-2</v>
      </c>
    </row>
    <row r="81" spans="1:15">
      <c r="A81" s="151">
        <v>44284</v>
      </c>
      <c r="B81" s="154">
        <v>15751.700194999999</v>
      </c>
      <c r="C81" s="146">
        <f t="shared" si="8"/>
        <v>4.4100098471300253E-3</v>
      </c>
      <c r="D81" s="145"/>
      <c r="E81" s="154">
        <v>47.576495999999999</v>
      </c>
      <c r="F81" s="146">
        <f t="shared" si="8"/>
        <v>-9.9924876243068228E-3</v>
      </c>
      <c r="G81" s="145"/>
      <c r="H81" s="154">
        <v>31.834503000000002</v>
      </c>
      <c r="I81" s="146">
        <f t="shared" si="5"/>
        <v>-2.0998864297898989E-2</v>
      </c>
      <c r="J81" s="145"/>
      <c r="K81" s="154">
        <v>128.990173</v>
      </c>
      <c r="L81" s="146">
        <f t="shared" si="6"/>
        <v>-9.9509733353191354E-3</v>
      </c>
      <c r="M81" s="145"/>
      <c r="N81" s="154">
        <v>45.68</v>
      </c>
      <c r="O81" s="146">
        <f t="shared" si="7"/>
        <v>-3.1642334279491369E-3</v>
      </c>
    </row>
    <row r="82" spans="1:15">
      <c r="A82" s="151">
        <v>44291</v>
      </c>
      <c r="B82" s="154">
        <v>15956.370117</v>
      </c>
      <c r="C82" s="146">
        <f t="shared" si="8"/>
        <v>1.299351304724361E-2</v>
      </c>
      <c r="D82" s="145"/>
      <c r="E82" s="154">
        <v>48.183543999999998</v>
      </c>
      <c r="F82" s="146">
        <f t="shared" si="8"/>
        <v>1.2759409604271799E-2</v>
      </c>
      <c r="G82" s="145"/>
      <c r="H82" s="154">
        <v>32.592776999999998</v>
      </c>
      <c r="I82" s="146">
        <f t="shared" si="5"/>
        <v>2.3819250452881136E-2</v>
      </c>
      <c r="J82" s="145"/>
      <c r="K82" s="154">
        <v>130.167969</v>
      </c>
      <c r="L82" s="146">
        <f t="shared" si="6"/>
        <v>9.1308971265586791E-3</v>
      </c>
      <c r="M82" s="145"/>
      <c r="N82" s="154">
        <v>47.645000000000003</v>
      </c>
      <c r="O82" s="146">
        <f t="shared" si="7"/>
        <v>4.3016637478108688E-2</v>
      </c>
    </row>
    <row r="83" spans="1:15">
      <c r="A83" s="151">
        <v>44298</v>
      </c>
      <c r="B83" s="154">
        <v>16186.290039</v>
      </c>
      <c r="C83" s="146">
        <f t="shared" si="8"/>
        <v>1.4409287345061195E-2</v>
      </c>
      <c r="D83" s="145"/>
      <c r="E83" s="154">
        <v>48.636574000000003</v>
      </c>
      <c r="F83" s="146">
        <f t="shared" si="8"/>
        <v>9.4021726587816268E-3</v>
      </c>
      <c r="G83" s="145"/>
      <c r="H83" s="154">
        <v>33.371220000000001</v>
      </c>
      <c r="I83" s="146">
        <f t="shared" si="5"/>
        <v>2.3883911456823892E-2</v>
      </c>
      <c r="J83" s="145"/>
      <c r="K83" s="154">
        <v>131.61965900000001</v>
      </c>
      <c r="L83" s="146">
        <f t="shared" si="6"/>
        <v>1.1152436433881974E-2</v>
      </c>
      <c r="M83" s="145"/>
      <c r="N83" s="154">
        <v>49.084999000000003</v>
      </c>
      <c r="O83" s="146">
        <f t="shared" si="7"/>
        <v>3.0223507188582133E-2</v>
      </c>
    </row>
    <row r="84" spans="1:15">
      <c r="A84" s="151">
        <v>44305</v>
      </c>
      <c r="B84" s="154">
        <v>16206</v>
      </c>
      <c r="C84" s="146">
        <f t="shared" si="8"/>
        <v>1.2176947869160237E-3</v>
      </c>
      <c r="D84" s="145"/>
      <c r="E84" s="154">
        <v>49.352352000000003</v>
      </c>
      <c r="F84" s="146">
        <f t="shared" si="8"/>
        <v>1.4716867187232419E-2</v>
      </c>
      <c r="G84" s="145"/>
      <c r="H84" s="154">
        <v>33.528767000000002</v>
      </c>
      <c r="I84" s="146">
        <f t="shared" si="5"/>
        <v>4.7210440613199012E-3</v>
      </c>
      <c r="J84" s="145"/>
      <c r="K84" s="154">
        <v>133.14437899999999</v>
      </c>
      <c r="L84" s="146">
        <f t="shared" si="6"/>
        <v>1.1584287724069942E-2</v>
      </c>
      <c r="M84" s="145"/>
      <c r="N84" s="154">
        <v>49.34</v>
      </c>
      <c r="O84" s="146">
        <f t="shared" si="7"/>
        <v>5.1950902555788492E-3</v>
      </c>
    </row>
    <row r="85" spans="1:15">
      <c r="A85" s="151">
        <v>44312</v>
      </c>
      <c r="B85" s="154">
        <v>16219.330078000001</v>
      </c>
      <c r="C85" s="146">
        <f t="shared" si="8"/>
        <v>8.2253967666301442E-4</v>
      </c>
      <c r="D85" s="145"/>
      <c r="E85" s="154">
        <v>48.908382000000003</v>
      </c>
      <c r="F85" s="146">
        <f t="shared" si="8"/>
        <v>-8.9959238416843501E-3</v>
      </c>
      <c r="G85" s="145"/>
      <c r="H85" s="154">
        <v>33.222942000000003</v>
      </c>
      <c r="I85" s="146">
        <f t="shared" si="5"/>
        <v>-9.1212718916863222E-3</v>
      </c>
      <c r="J85" s="145"/>
      <c r="K85" s="154">
        <v>131.61965900000001</v>
      </c>
      <c r="L85" s="146">
        <f t="shared" si="6"/>
        <v>-1.1451628761586452E-2</v>
      </c>
      <c r="M85" s="145"/>
      <c r="N85" s="154">
        <v>48.525002000000001</v>
      </c>
      <c r="O85" s="146">
        <f t="shared" si="7"/>
        <v>-1.6517997567896292E-2</v>
      </c>
    </row>
    <row r="86" spans="1:15">
      <c r="A86" s="151">
        <v>44319</v>
      </c>
      <c r="B86" s="154">
        <v>16590.429688</v>
      </c>
      <c r="C86" s="146">
        <f t="shared" si="8"/>
        <v>2.2880082482775288E-2</v>
      </c>
      <c r="D86" s="145"/>
      <c r="E86" s="154">
        <v>49.388592000000003</v>
      </c>
      <c r="F86" s="146">
        <f t="shared" si="8"/>
        <v>9.818562388753671E-3</v>
      </c>
      <c r="G86" s="145"/>
      <c r="H86" s="154">
        <v>33.917991999999998</v>
      </c>
      <c r="I86" s="146">
        <f t="shared" si="5"/>
        <v>2.0920784197859366E-2</v>
      </c>
      <c r="J86" s="145"/>
      <c r="K86" s="154">
        <v>132.897842</v>
      </c>
      <c r="L86" s="146">
        <f t="shared" si="6"/>
        <v>9.7111860774534708E-3</v>
      </c>
      <c r="M86" s="145"/>
      <c r="N86" s="154">
        <v>45.625</v>
      </c>
      <c r="O86" s="146">
        <f t="shared" si="7"/>
        <v>-5.9763047511054213E-2</v>
      </c>
    </row>
    <row r="87" spans="1:15">
      <c r="A87" s="151">
        <v>44326</v>
      </c>
      <c r="B87" s="154">
        <v>16415.359375</v>
      </c>
      <c r="C87" s="146">
        <f t="shared" si="8"/>
        <v>-1.0552488168924845E-2</v>
      </c>
      <c r="D87" s="145"/>
      <c r="E87" s="154">
        <v>49.587924999999998</v>
      </c>
      <c r="F87" s="146">
        <f t="shared" si="8"/>
        <v>4.036013012883588E-3</v>
      </c>
      <c r="G87" s="145"/>
      <c r="H87" s="154">
        <v>33.408295000000003</v>
      </c>
      <c r="I87" s="146">
        <f t="shared" si="5"/>
        <v>-1.5027334165300665E-2</v>
      </c>
      <c r="J87" s="145"/>
      <c r="K87" s="154">
        <v>133.83827199999999</v>
      </c>
      <c r="L87" s="146">
        <f t="shared" si="6"/>
        <v>7.0763376278148993E-3</v>
      </c>
      <c r="M87" s="145"/>
      <c r="N87" s="154">
        <v>46.07</v>
      </c>
      <c r="O87" s="146">
        <f t="shared" si="7"/>
        <v>9.7534246575341488E-3</v>
      </c>
    </row>
    <row r="88" spans="1:15">
      <c r="A88" s="151">
        <v>44333</v>
      </c>
      <c r="B88" s="154">
        <v>16375</v>
      </c>
      <c r="C88" s="146">
        <f t="shared" si="8"/>
        <v>-2.4586348722566154E-3</v>
      </c>
      <c r="D88" s="145"/>
      <c r="E88" s="154">
        <v>49.488255000000002</v>
      </c>
      <c r="F88" s="146">
        <f t="shared" si="8"/>
        <v>-2.0099651275989894E-3</v>
      </c>
      <c r="G88" s="145"/>
      <c r="H88" s="154">
        <v>33.584372999999999</v>
      </c>
      <c r="I88" s="146">
        <f t="shared" si="5"/>
        <v>5.2704874642659494E-3</v>
      </c>
      <c r="J88" s="145"/>
      <c r="K88" s="154">
        <v>134.30392499999999</v>
      </c>
      <c r="L88" s="146">
        <f t="shared" si="6"/>
        <v>3.4792215488257394E-3</v>
      </c>
      <c r="M88" s="145"/>
      <c r="N88" s="154">
        <v>46.005001</v>
      </c>
      <c r="O88" s="146">
        <f t="shared" si="7"/>
        <v>-1.4108747558063683E-3</v>
      </c>
    </row>
    <row r="89" spans="1:15">
      <c r="A89" s="151">
        <v>44340</v>
      </c>
      <c r="B89" s="154">
        <v>16555.660156000002</v>
      </c>
      <c r="C89" s="146">
        <f t="shared" si="8"/>
        <v>1.1032681282442836E-2</v>
      </c>
      <c r="D89" s="145"/>
      <c r="E89" s="154">
        <v>50.095309999999998</v>
      </c>
      <c r="F89" s="146">
        <f t="shared" si="8"/>
        <v>1.2266647914742412E-2</v>
      </c>
      <c r="G89" s="145"/>
      <c r="H89" s="154">
        <v>34.251606000000002</v>
      </c>
      <c r="I89" s="146">
        <f t="shared" si="5"/>
        <v>1.9867365098642953E-2</v>
      </c>
      <c r="J89" s="145"/>
      <c r="K89" s="154">
        <v>135.07084699999999</v>
      </c>
      <c r="L89" s="146">
        <f t="shared" si="6"/>
        <v>5.7103468867345519E-3</v>
      </c>
      <c r="M89" s="145"/>
      <c r="N89" s="154">
        <v>47.134998000000003</v>
      </c>
      <c r="O89" s="146">
        <f t="shared" si="7"/>
        <v>2.4562481804967229E-2</v>
      </c>
    </row>
    <row r="90" spans="1:15">
      <c r="A90" s="151">
        <v>44347</v>
      </c>
      <c r="B90" s="154">
        <v>16708.740234000001</v>
      </c>
      <c r="C90" s="146">
        <f t="shared" si="8"/>
        <v>9.2463892443770401E-3</v>
      </c>
      <c r="D90" s="145"/>
      <c r="E90" s="154">
        <v>50.956046999999998</v>
      </c>
      <c r="F90" s="146">
        <f t="shared" si="8"/>
        <v>1.7181987695055634E-2</v>
      </c>
      <c r="G90" s="145"/>
      <c r="H90" s="154">
        <v>34.205275999999998</v>
      </c>
      <c r="I90" s="146">
        <f t="shared" si="5"/>
        <v>-1.3526373040728679E-3</v>
      </c>
      <c r="J90" s="145"/>
      <c r="K90" s="154">
        <v>134.97953799999999</v>
      </c>
      <c r="L90" s="146">
        <f t="shared" si="6"/>
        <v>-6.7600819886759478E-4</v>
      </c>
      <c r="M90" s="145"/>
      <c r="N90" s="154">
        <v>47.685001</v>
      </c>
      <c r="O90" s="146">
        <f t="shared" si="7"/>
        <v>1.1668675577327869E-2</v>
      </c>
    </row>
    <row r="91" spans="1:15">
      <c r="A91" s="151">
        <v>44354</v>
      </c>
      <c r="B91" s="154">
        <v>16694.929688</v>
      </c>
      <c r="C91" s="146">
        <f t="shared" si="8"/>
        <v>-8.2654621512989745E-4</v>
      </c>
      <c r="D91" s="145"/>
      <c r="E91" s="154">
        <v>50.883575</v>
      </c>
      <c r="F91" s="146">
        <f t="shared" si="8"/>
        <v>-1.422245332335148E-3</v>
      </c>
      <c r="G91" s="145"/>
      <c r="H91" s="154">
        <v>32.648387999999997</v>
      </c>
      <c r="I91" s="146">
        <f t="shared" si="5"/>
        <v>-4.551601922463655E-2</v>
      </c>
      <c r="J91" s="145"/>
      <c r="K91" s="154">
        <v>135.82771299999999</v>
      </c>
      <c r="L91" s="146">
        <f t="shared" si="6"/>
        <v>6.2837302050922084E-3</v>
      </c>
      <c r="M91" s="145"/>
      <c r="N91" s="154">
        <v>46.75</v>
      </c>
      <c r="O91" s="146">
        <f t="shared" si="7"/>
        <v>-1.9607863697014505E-2</v>
      </c>
    </row>
    <row r="92" spans="1:15">
      <c r="A92" s="151">
        <v>44361</v>
      </c>
      <c r="B92" s="154">
        <v>16143.950194999999</v>
      </c>
      <c r="C92" s="146">
        <f t="shared" si="8"/>
        <v>-3.3002804042716938E-2</v>
      </c>
      <c r="D92" s="145"/>
      <c r="E92" s="154">
        <v>48.718116999999999</v>
      </c>
      <c r="F92" s="146">
        <f t="shared" si="8"/>
        <v>-4.255711199537382E-2</v>
      </c>
      <c r="G92" s="145"/>
      <c r="H92" s="154">
        <v>31.990411999999999</v>
      </c>
      <c r="I92" s="146">
        <f t="shared" si="5"/>
        <v>-2.0153399304124853E-2</v>
      </c>
      <c r="J92" s="145"/>
      <c r="K92" s="154">
        <v>133.74002100000001</v>
      </c>
      <c r="L92" s="146">
        <f t="shared" si="6"/>
        <v>-1.5370147622230657E-2</v>
      </c>
      <c r="M92" s="145"/>
      <c r="N92" s="154">
        <v>45.880001</v>
      </c>
      <c r="O92" s="146">
        <f t="shared" si="7"/>
        <v>-1.8609604278074898E-2</v>
      </c>
    </row>
    <row r="93" spans="1:15">
      <c r="A93" s="151">
        <v>44368</v>
      </c>
      <c r="B93" s="154">
        <v>16658.789063</v>
      </c>
      <c r="C93" s="146">
        <f t="shared" si="8"/>
        <v>3.1890513894142991E-2</v>
      </c>
      <c r="D93" s="145"/>
      <c r="E93" s="154">
        <v>49.587291999999998</v>
      </c>
      <c r="F93" s="146">
        <f t="shared" si="8"/>
        <v>1.7840898900094881E-2</v>
      </c>
      <c r="G93" s="145"/>
      <c r="H93" s="154">
        <v>32.305500000000002</v>
      </c>
      <c r="I93" s="146">
        <f t="shared" si="5"/>
        <v>9.8494511417983599E-3</v>
      </c>
      <c r="J93" s="145"/>
      <c r="K93" s="154">
        <v>134.65052800000001</v>
      </c>
      <c r="L93" s="146">
        <f t="shared" si="6"/>
        <v>6.8080369151428677E-3</v>
      </c>
      <c r="M93" s="145"/>
      <c r="N93" s="154">
        <v>46.060001</v>
      </c>
      <c r="O93" s="146">
        <f t="shared" si="7"/>
        <v>3.9232780313147586E-3</v>
      </c>
    </row>
    <row r="94" spans="1:15">
      <c r="A94" s="151">
        <v>44375</v>
      </c>
      <c r="B94" s="154">
        <v>16674.849609000001</v>
      </c>
      <c r="C94" s="146">
        <f t="shared" si="8"/>
        <v>9.6408844239892488E-4</v>
      </c>
      <c r="D94" s="145"/>
      <c r="E94" s="154">
        <v>49.459484000000003</v>
      </c>
      <c r="F94" s="146">
        <f t="shared" si="8"/>
        <v>-2.5774345572247004E-3</v>
      </c>
      <c r="G94" s="145"/>
      <c r="H94" s="154">
        <v>32.602051000000003</v>
      </c>
      <c r="I94" s="146">
        <f t="shared" si="5"/>
        <v>9.1795824240454849E-3</v>
      </c>
      <c r="J94" s="145"/>
      <c r="K94" s="154">
        <v>136.94975299999999</v>
      </c>
      <c r="L94" s="146">
        <f t="shared" si="6"/>
        <v>1.7075499325186261E-2</v>
      </c>
      <c r="M94" s="145"/>
      <c r="N94" s="154">
        <v>45.43</v>
      </c>
      <c r="O94" s="146">
        <f t="shared" si="7"/>
        <v>-1.3677832964007153E-2</v>
      </c>
    </row>
    <row r="95" spans="1:15">
      <c r="A95" s="151">
        <v>44382</v>
      </c>
      <c r="B95" s="154">
        <v>16633.300781000002</v>
      </c>
      <c r="C95" s="146">
        <f t="shared" si="8"/>
        <v>-2.4917063106568715E-3</v>
      </c>
      <c r="D95" s="145"/>
      <c r="E95" s="154">
        <v>49.715088000000002</v>
      </c>
      <c r="F95" s="146">
        <f t="shared" si="8"/>
        <v>5.1679471625705187E-3</v>
      </c>
      <c r="G95" s="145"/>
      <c r="H95" s="154">
        <v>32.609195999999997</v>
      </c>
      <c r="I95" s="146">
        <f t="shared" si="5"/>
        <v>2.1915799101090983E-4</v>
      </c>
      <c r="J95" s="145"/>
      <c r="K95" s="154">
        <v>137.473938</v>
      </c>
      <c r="L95" s="146">
        <f t="shared" si="6"/>
        <v>3.8275717079971905E-3</v>
      </c>
      <c r="M95" s="145"/>
      <c r="N95" s="154">
        <v>45.119999</v>
      </c>
      <c r="O95" s="146">
        <f t="shared" si="7"/>
        <v>-6.8237068016728797E-3</v>
      </c>
    </row>
    <row r="96" spans="1:15">
      <c r="A96" s="151">
        <v>44389</v>
      </c>
      <c r="B96" s="154">
        <v>16364.660156</v>
      </c>
      <c r="C96" s="146">
        <f t="shared" si="8"/>
        <v>-1.6150770585887986E-2</v>
      </c>
      <c r="D96" s="145"/>
      <c r="E96" s="154">
        <v>51.486060999999999</v>
      </c>
      <c r="F96" s="146">
        <f t="shared" si="8"/>
        <v>3.5622445242377898E-2</v>
      </c>
      <c r="G96" s="145"/>
      <c r="H96" s="154">
        <v>33.429096000000001</v>
      </c>
      <c r="I96" s="146">
        <f t="shared" si="5"/>
        <v>2.5143214202521413E-2</v>
      </c>
      <c r="J96" s="145"/>
      <c r="K96" s="154">
        <v>143.30474899999999</v>
      </c>
      <c r="L96" s="146">
        <f t="shared" si="6"/>
        <v>4.2413937396628354E-2</v>
      </c>
      <c r="M96" s="145"/>
      <c r="N96" s="154">
        <v>46.534999999999997</v>
      </c>
      <c r="O96" s="146">
        <f t="shared" si="7"/>
        <v>3.1360838461011342E-2</v>
      </c>
    </row>
    <row r="97" spans="1:15">
      <c r="A97" s="151">
        <v>44396</v>
      </c>
      <c r="B97" s="154">
        <v>16552.380859000001</v>
      </c>
      <c r="C97" s="146">
        <f t="shared" si="8"/>
        <v>1.1471103048307008E-2</v>
      </c>
      <c r="D97" s="145"/>
      <c r="E97" s="154">
        <v>52.042915000000001</v>
      </c>
      <c r="F97" s="146">
        <f t="shared" si="8"/>
        <v>1.0815626388664734E-2</v>
      </c>
      <c r="G97" s="145"/>
      <c r="H97" s="154">
        <v>33.606110000000001</v>
      </c>
      <c r="I97" s="146">
        <f t="shared" si="5"/>
        <v>5.2952075042651536E-3</v>
      </c>
      <c r="J97" s="145"/>
      <c r="K97" s="154">
        <v>144.55548099999999</v>
      </c>
      <c r="L97" s="146">
        <f t="shared" si="6"/>
        <v>8.7277777514547239E-3</v>
      </c>
      <c r="M97" s="145"/>
      <c r="N97" s="154">
        <v>48.145000000000003</v>
      </c>
      <c r="O97" s="146">
        <f t="shared" si="7"/>
        <v>3.4597614698613999E-2</v>
      </c>
    </row>
    <row r="98" spans="1:15">
      <c r="A98" s="151">
        <v>44403</v>
      </c>
      <c r="B98" s="154">
        <v>16602.289063</v>
      </c>
      <c r="C98" s="146">
        <f t="shared" si="8"/>
        <v>3.0151676924992099E-3</v>
      </c>
      <c r="D98" s="145"/>
      <c r="E98" s="154">
        <v>52.061171999999999</v>
      </c>
      <c r="F98" s="146">
        <f t="shared" si="8"/>
        <v>3.508066371762375E-4</v>
      </c>
      <c r="G98" s="145"/>
      <c r="H98" s="154">
        <v>32.804859</v>
      </c>
      <c r="I98" s="146">
        <f t="shared" si="5"/>
        <v>-2.3842420321780744E-2</v>
      </c>
      <c r="J98" s="145"/>
      <c r="K98" s="154">
        <v>144.34397899999999</v>
      </c>
      <c r="L98" s="146">
        <f t="shared" si="6"/>
        <v>-1.4631198937382628E-3</v>
      </c>
      <c r="M98" s="145"/>
      <c r="N98" s="154">
        <v>47.16</v>
      </c>
      <c r="O98" s="146">
        <f t="shared" si="7"/>
        <v>-2.0459030013501023E-2</v>
      </c>
    </row>
    <row r="99" spans="1:15">
      <c r="A99" s="151">
        <v>44410</v>
      </c>
      <c r="B99" s="154">
        <v>16748.080077999999</v>
      </c>
      <c r="C99" s="146">
        <f t="shared" si="8"/>
        <v>8.7813803534424473E-3</v>
      </c>
      <c r="D99" s="145"/>
      <c r="E99" s="154">
        <v>51.705154</v>
      </c>
      <c r="F99" s="146">
        <f t="shared" si="8"/>
        <v>-6.8384553463375353E-3</v>
      </c>
      <c r="G99" s="145"/>
      <c r="H99" s="154">
        <v>31.947706</v>
      </c>
      <c r="I99" s="146">
        <f t="shared" si="5"/>
        <v>-2.6128842681506392E-2</v>
      </c>
      <c r="J99" s="145"/>
      <c r="K99" s="154">
        <v>141.93438699999999</v>
      </c>
      <c r="L99" s="146">
        <f t="shared" si="6"/>
        <v>-1.6693401530797458E-2</v>
      </c>
      <c r="M99" s="145"/>
      <c r="N99" s="154">
        <v>48.485000999999997</v>
      </c>
      <c r="O99" s="146">
        <f t="shared" si="7"/>
        <v>2.8095865139949217E-2</v>
      </c>
    </row>
    <row r="100" spans="1:15">
      <c r="A100" s="151">
        <v>44417</v>
      </c>
      <c r="B100" s="154">
        <v>16868.109375</v>
      </c>
      <c r="C100" s="146">
        <f t="shared" si="8"/>
        <v>7.1667496477803017E-3</v>
      </c>
      <c r="D100" s="145"/>
      <c r="E100" s="154">
        <v>52.243752000000001</v>
      </c>
      <c r="F100" s="146">
        <f t="shared" si="8"/>
        <v>1.0416717838225509E-2</v>
      </c>
      <c r="G100" s="145"/>
      <c r="H100" s="154">
        <v>32.096770999999997</v>
      </c>
      <c r="I100" s="146">
        <f t="shared" si="5"/>
        <v>4.66590621561358E-3</v>
      </c>
      <c r="J100" s="145"/>
      <c r="K100" s="154">
        <v>143.94851700000001</v>
      </c>
      <c r="L100" s="146">
        <f t="shared" si="6"/>
        <v>1.4190571027724364E-2</v>
      </c>
      <c r="M100" s="145"/>
      <c r="N100" s="154">
        <v>49.060001</v>
      </c>
      <c r="O100" s="146">
        <f t="shared" si="7"/>
        <v>1.1859337694970939E-2</v>
      </c>
    </row>
    <row r="101" spans="1:15">
      <c r="A101" s="151">
        <v>44424</v>
      </c>
      <c r="B101" s="154">
        <v>16516.679688</v>
      </c>
      <c r="C101" s="146">
        <f t="shared" si="8"/>
        <v>-2.0833970137806301E-2</v>
      </c>
      <c r="D101" s="145"/>
      <c r="E101" s="154">
        <v>51.705154</v>
      </c>
      <c r="F101" s="146">
        <f t="shared" si="8"/>
        <v>-1.0309328472426715E-2</v>
      </c>
      <c r="G101" s="145"/>
      <c r="H101" s="154">
        <v>32.441498000000003</v>
      </c>
      <c r="I101" s="146">
        <f t="shared" si="5"/>
        <v>1.0740239259581674E-2</v>
      </c>
      <c r="J101" s="145"/>
      <c r="K101" s="154">
        <v>145.631531</v>
      </c>
      <c r="L101" s="146">
        <f t="shared" si="6"/>
        <v>1.1691777276177096E-2</v>
      </c>
      <c r="M101" s="145"/>
      <c r="N101" s="154">
        <v>48.369999</v>
      </c>
      <c r="O101" s="146">
        <f t="shared" si="7"/>
        <v>-1.4064451405127354E-2</v>
      </c>
    </row>
    <row r="102" spans="1:15">
      <c r="A102" s="151">
        <v>44431</v>
      </c>
      <c r="B102" s="154">
        <v>16844.75</v>
      </c>
      <c r="C102" s="146">
        <f t="shared" si="8"/>
        <v>1.9862969930836361E-2</v>
      </c>
      <c r="D102" s="145"/>
      <c r="E102" s="154">
        <v>50.801411000000002</v>
      </c>
      <c r="F102" s="146">
        <f t="shared" si="8"/>
        <v>-1.7478779775029762E-2</v>
      </c>
      <c r="G102" s="145"/>
      <c r="H102" s="154">
        <v>32.730319999999999</v>
      </c>
      <c r="I102" s="146">
        <f t="shared" si="5"/>
        <v>8.9028564587243508E-3</v>
      </c>
      <c r="J102" s="145"/>
      <c r="K102" s="154">
        <v>142.49542199999999</v>
      </c>
      <c r="L102" s="146">
        <f t="shared" si="6"/>
        <v>-2.153454666352439E-2</v>
      </c>
      <c r="M102" s="145"/>
      <c r="N102" s="154">
        <v>48.665000999999997</v>
      </c>
      <c r="O102" s="146">
        <f t="shared" si="7"/>
        <v>6.0988630576568337E-3</v>
      </c>
    </row>
    <row r="103" spans="1:15">
      <c r="A103" s="151">
        <v>44438</v>
      </c>
      <c r="B103" s="154">
        <v>16909.720702999999</v>
      </c>
      <c r="C103" s="146">
        <f t="shared" si="8"/>
        <v>3.8570298164115613E-3</v>
      </c>
      <c r="D103" s="145"/>
      <c r="E103" s="154">
        <v>51.787318999999997</v>
      </c>
      <c r="F103" s="146">
        <f t="shared" si="8"/>
        <v>1.9407098751646812E-2</v>
      </c>
      <c r="G103" s="145"/>
      <c r="H103" s="154">
        <v>32.832805999999998</v>
      </c>
      <c r="I103" s="146">
        <f t="shared" si="5"/>
        <v>3.1312251148170045E-3</v>
      </c>
      <c r="J103" s="145"/>
      <c r="K103" s="154">
        <v>144.47268700000001</v>
      </c>
      <c r="L103" s="146">
        <f t="shared" si="6"/>
        <v>1.3875989644074549E-2</v>
      </c>
      <c r="M103" s="145"/>
      <c r="N103" s="154">
        <v>48.790000999999997</v>
      </c>
      <c r="O103" s="146">
        <f t="shared" si="7"/>
        <v>2.568581063010722E-3</v>
      </c>
    </row>
    <row r="104" spans="1:15">
      <c r="A104" s="151">
        <v>44445</v>
      </c>
      <c r="B104" s="154">
        <v>16563.480468999998</v>
      </c>
      <c r="C104" s="146">
        <f t="shared" si="8"/>
        <v>-2.0475810338994704E-2</v>
      </c>
      <c r="D104" s="145"/>
      <c r="E104" s="154">
        <v>50.764893000000001</v>
      </c>
      <c r="F104" s="146">
        <f t="shared" si="8"/>
        <v>-1.9742786839380466E-2</v>
      </c>
      <c r="G104" s="145"/>
      <c r="H104" s="154">
        <v>32.450812999999997</v>
      </c>
      <c r="I104" s="146">
        <f t="shared" si="5"/>
        <v>-1.1634491429090787E-2</v>
      </c>
      <c r="J104" s="145"/>
      <c r="K104" s="154">
        <v>143.95362900000001</v>
      </c>
      <c r="L104" s="146">
        <f t="shared" si="6"/>
        <v>-3.5927759826326344E-3</v>
      </c>
      <c r="M104" s="145"/>
      <c r="N104" s="154">
        <v>47.959999000000003</v>
      </c>
      <c r="O104" s="146">
        <f t="shared" si="7"/>
        <v>-1.7011723365203291E-2</v>
      </c>
    </row>
    <row r="105" spans="1:15">
      <c r="A105" s="151">
        <v>44452</v>
      </c>
      <c r="B105" s="154">
        <v>16460.349609000001</v>
      </c>
      <c r="C105" s="146">
        <f t="shared" si="8"/>
        <v>-6.22640031441557E-3</v>
      </c>
      <c r="D105" s="145"/>
      <c r="E105" s="154">
        <v>49.696831000000003</v>
      </c>
      <c r="F105" s="146">
        <f t="shared" si="8"/>
        <v>-2.1039382472449963E-2</v>
      </c>
      <c r="G105" s="145"/>
      <c r="H105" s="154">
        <v>32.525351999999998</v>
      </c>
      <c r="I105" s="146">
        <f t="shared" si="5"/>
        <v>2.2969840539897035E-3</v>
      </c>
      <c r="J105" s="145"/>
      <c r="K105" s="154">
        <v>142.722061</v>
      </c>
      <c r="L105" s="146">
        <f t="shared" si="6"/>
        <v>-8.5553105437863319E-3</v>
      </c>
      <c r="M105" s="145"/>
      <c r="N105" s="154">
        <v>47.32</v>
      </c>
      <c r="O105" s="146">
        <f t="shared" si="7"/>
        <v>-1.3344433138958167E-2</v>
      </c>
    </row>
    <row r="106" spans="1:15">
      <c r="A106" s="151">
        <v>44459</v>
      </c>
      <c r="B106" s="154">
        <v>16539.150390999999</v>
      </c>
      <c r="C106" s="146">
        <f t="shared" si="8"/>
        <v>4.7873091320558281E-3</v>
      </c>
      <c r="D106" s="145"/>
      <c r="E106" s="154">
        <v>49.566035999999997</v>
      </c>
      <c r="F106" s="146">
        <f t="shared" si="8"/>
        <v>-2.6318579548866294E-3</v>
      </c>
      <c r="G106" s="145"/>
      <c r="H106" s="154">
        <v>31.556391000000001</v>
      </c>
      <c r="I106" s="146">
        <f t="shared" si="5"/>
        <v>-2.9790945844336947E-2</v>
      </c>
      <c r="J106" s="145"/>
      <c r="K106" s="154">
        <v>142.78689600000001</v>
      </c>
      <c r="L106" s="146">
        <f t="shared" si="6"/>
        <v>4.5427454974888981E-4</v>
      </c>
      <c r="M106" s="145"/>
      <c r="N106" s="154">
        <v>46.369999</v>
      </c>
      <c r="O106" s="146">
        <f t="shared" si="7"/>
        <v>-2.007609890109896E-2</v>
      </c>
    </row>
    <row r="107" spans="1:15">
      <c r="A107" s="151">
        <v>44466</v>
      </c>
      <c r="B107" s="154">
        <v>16323.740234000001</v>
      </c>
      <c r="C107" s="146">
        <f t="shared" si="8"/>
        <v>-1.3024257710191445E-2</v>
      </c>
      <c r="D107" s="145"/>
      <c r="E107" s="154">
        <v>48.765841999999999</v>
      </c>
      <c r="F107" s="146">
        <f t="shared" si="8"/>
        <v>-1.6143998281403782E-2</v>
      </c>
      <c r="G107" s="145"/>
      <c r="H107" s="154">
        <v>30.932162999999999</v>
      </c>
      <c r="I107" s="146">
        <f t="shared" si="5"/>
        <v>-1.9781349521242886E-2</v>
      </c>
      <c r="J107" s="145"/>
      <c r="K107" s="154">
        <v>139.777435</v>
      </c>
      <c r="L107" s="146">
        <f t="shared" si="6"/>
        <v>-2.1076590949914764E-2</v>
      </c>
      <c r="M107" s="145"/>
      <c r="N107" s="154">
        <v>44.939999</v>
      </c>
      <c r="O107" s="146">
        <f t="shared" si="7"/>
        <v>-3.083890512915477E-2</v>
      </c>
    </row>
    <row r="108" spans="1:15">
      <c r="A108" s="151">
        <v>44473</v>
      </c>
      <c r="B108" s="154">
        <v>16517.230468999998</v>
      </c>
      <c r="C108" s="146">
        <f t="shared" si="8"/>
        <v>1.1853302749634809E-2</v>
      </c>
      <c r="D108" s="145"/>
      <c r="E108" s="154">
        <v>49.777572999999997</v>
      </c>
      <c r="F108" s="146">
        <f t="shared" si="8"/>
        <v>2.0746714472806627E-2</v>
      </c>
      <c r="G108" s="145"/>
      <c r="H108" s="154">
        <v>32.824615000000001</v>
      </c>
      <c r="I108" s="146">
        <f t="shared" si="5"/>
        <v>6.118071988693452E-2</v>
      </c>
      <c r="J108" s="145"/>
      <c r="K108" s="154">
        <v>144.48144500000001</v>
      </c>
      <c r="L108" s="146">
        <f t="shared" si="6"/>
        <v>3.3653572194968451E-2</v>
      </c>
      <c r="M108" s="145"/>
      <c r="N108" s="154">
        <v>44.634998000000003</v>
      </c>
      <c r="O108" s="146">
        <f t="shared" si="7"/>
        <v>-6.7868492831963945E-3</v>
      </c>
    </row>
    <row r="109" spans="1:15">
      <c r="A109" s="151">
        <v>44480</v>
      </c>
      <c r="B109" s="154">
        <v>16871.740234000001</v>
      </c>
      <c r="C109" s="146">
        <f t="shared" si="8"/>
        <v>2.1463027089520637E-2</v>
      </c>
      <c r="D109" s="145"/>
      <c r="E109" s="154">
        <v>50.108691999999998</v>
      </c>
      <c r="F109" s="146">
        <f t="shared" si="8"/>
        <v>6.6519715615704911E-3</v>
      </c>
      <c r="G109" s="145"/>
      <c r="H109" s="154">
        <v>33.077548999999998</v>
      </c>
      <c r="I109" s="146">
        <f t="shared" si="5"/>
        <v>7.7056197003375626E-3</v>
      </c>
      <c r="J109" s="145"/>
      <c r="K109" s="154">
        <v>147.05566400000001</v>
      </c>
      <c r="L109" s="146">
        <f t="shared" si="6"/>
        <v>1.7816952204485537E-2</v>
      </c>
      <c r="M109" s="145"/>
      <c r="N109" s="154">
        <v>42.790000999999997</v>
      </c>
      <c r="O109" s="146">
        <f t="shared" si="7"/>
        <v>-4.1335209648715732E-2</v>
      </c>
    </row>
    <row r="110" spans="1:15">
      <c r="A110" s="151">
        <v>44487</v>
      </c>
      <c r="B110" s="154">
        <v>17122.240234000001</v>
      </c>
      <c r="C110" s="146">
        <f t="shared" si="8"/>
        <v>1.4847312519380207E-2</v>
      </c>
      <c r="D110" s="145"/>
      <c r="E110" s="154">
        <v>50.081099999999999</v>
      </c>
      <c r="F110" s="146">
        <f t="shared" si="8"/>
        <v>-5.5064299024210062E-4</v>
      </c>
      <c r="G110" s="145"/>
      <c r="H110" s="154">
        <v>32.468646999999997</v>
      </c>
      <c r="I110" s="146">
        <f t="shared" si="5"/>
        <v>-1.8408316770991751E-2</v>
      </c>
      <c r="J110" s="145"/>
      <c r="K110" s="154">
        <v>148.12982199999999</v>
      </c>
      <c r="L110" s="146">
        <f t="shared" si="6"/>
        <v>7.3044313342462974E-3</v>
      </c>
      <c r="M110" s="145"/>
      <c r="N110" s="154">
        <v>42.365001999999997</v>
      </c>
      <c r="O110" s="146">
        <f t="shared" si="7"/>
        <v>-9.9322035538161879E-3</v>
      </c>
    </row>
    <row r="111" spans="1:15">
      <c r="A111" s="151">
        <v>44494</v>
      </c>
      <c r="B111" s="154">
        <v>17016.410156000002</v>
      </c>
      <c r="C111" s="146">
        <f t="shared" si="8"/>
        <v>-6.1808546401451725E-3</v>
      </c>
      <c r="D111" s="145"/>
      <c r="E111" s="154">
        <v>51.847050000000003</v>
      </c>
      <c r="F111" s="146">
        <f t="shared" si="8"/>
        <v>3.5261805351719522E-2</v>
      </c>
      <c r="G111" s="145"/>
      <c r="H111" s="154">
        <v>33.808228</v>
      </c>
      <c r="I111" s="146">
        <f t="shared" si="5"/>
        <v>4.1257678522914842E-2</v>
      </c>
      <c r="J111" s="145"/>
      <c r="K111" s="154">
        <v>149.63917499999999</v>
      </c>
      <c r="L111" s="146">
        <f t="shared" si="6"/>
        <v>1.0189393193222207E-2</v>
      </c>
      <c r="M111" s="145"/>
      <c r="N111" s="154">
        <v>42.5</v>
      </c>
      <c r="O111" s="146">
        <f t="shared" si="7"/>
        <v>3.1865453470296679E-3</v>
      </c>
    </row>
    <row r="112" spans="1:15">
      <c r="A112" s="151">
        <v>44501</v>
      </c>
      <c r="B112" s="154">
        <v>17242.359375</v>
      </c>
      <c r="C112" s="146">
        <f t="shared" si="8"/>
        <v>1.3278312930199876E-2</v>
      </c>
      <c r="D112" s="145"/>
      <c r="E112" s="154">
        <v>52.279330999999999</v>
      </c>
      <c r="F112" s="146">
        <f t="shared" si="8"/>
        <v>8.3376199803073536E-3</v>
      </c>
      <c r="G112" s="145"/>
      <c r="H112" s="154">
        <v>34.079898999999997</v>
      </c>
      <c r="I112" s="146">
        <f t="shared" si="5"/>
        <v>8.0356474169542835E-3</v>
      </c>
      <c r="J112" s="145"/>
      <c r="K112" s="154">
        <v>153.71350100000001</v>
      </c>
      <c r="L112" s="146">
        <f t="shared" si="6"/>
        <v>2.7227669492297046E-2</v>
      </c>
      <c r="M112" s="145"/>
      <c r="N112" s="154">
        <v>45.814999</v>
      </c>
      <c r="O112" s="146">
        <f t="shared" si="7"/>
        <v>7.7999976470588317E-2</v>
      </c>
    </row>
    <row r="113" spans="1:15">
      <c r="A113" s="151">
        <v>44508</v>
      </c>
      <c r="B113" s="154">
        <v>17297.660156000002</v>
      </c>
      <c r="C113" s="146">
        <f t="shared" si="8"/>
        <v>3.2072629851447321E-3</v>
      </c>
      <c r="D113" s="145"/>
      <c r="E113" s="154">
        <v>52.067787000000003</v>
      </c>
      <c r="F113" s="146">
        <f t="shared" si="8"/>
        <v>-4.0464175029324423E-3</v>
      </c>
      <c r="G113" s="145"/>
      <c r="H113" s="154">
        <v>33.41478</v>
      </c>
      <c r="I113" s="146">
        <f t="shared" si="5"/>
        <v>-1.9516460421434845E-2</v>
      </c>
      <c r="J113" s="145"/>
      <c r="K113" s="154">
        <v>150.61146500000001</v>
      </c>
      <c r="L113" s="146">
        <f t="shared" si="6"/>
        <v>-2.0180634621027815E-2</v>
      </c>
      <c r="M113" s="145"/>
      <c r="N113" s="154">
        <v>46.029998999999997</v>
      </c>
      <c r="O113" s="146">
        <f t="shared" si="7"/>
        <v>4.6927863078201071E-3</v>
      </c>
    </row>
    <row r="114" spans="1:15">
      <c r="A114" s="151">
        <v>44515</v>
      </c>
      <c r="B114" s="154">
        <v>16973.960938</v>
      </c>
      <c r="C114" s="146">
        <f t="shared" si="8"/>
        <v>-1.8713468473810946E-2</v>
      </c>
      <c r="D114" s="145"/>
      <c r="E114" s="154">
        <v>50.706543000000003</v>
      </c>
      <c r="F114" s="146">
        <f t="shared" si="8"/>
        <v>-2.6143688419098754E-2</v>
      </c>
      <c r="G114" s="145"/>
      <c r="H114" s="154">
        <v>32.937023000000003</v>
      </c>
      <c r="I114" s="146">
        <f t="shared" si="5"/>
        <v>-1.4297774817011999E-2</v>
      </c>
      <c r="J114" s="145"/>
      <c r="K114" s="154">
        <v>151.68559300000001</v>
      </c>
      <c r="L114" s="146">
        <f t="shared" si="6"/>
        <v>7.1317811031186285E-3</v>
      </c>
      <c r="M114" s="145"/>
      <c r="N114" s="154">
        <v>44.650002000000001</v>
      </c>
      <c r="O114" s="146">
        <f t="shared" si="7"/>
        <v>-2.9980383010653422E-2</v>
      </c>
    </row>
    <row r="115" spans="1:15">
      <c r="A115" s="151">
        <v>44522</v>
      </c>
      <c r="B115" s="154">
        <v>16624.869140999999</v>
      </c>
      <c r="C115" s="146">
        <f t="shared" si="8"/>
        <v>-2.0566313206158093E-2</v>
      </c>
      <c r="D115" s="145"/>
      <c r="E115" s="154">
        <v>49.418872999999998</v>
      </c>
      <c r="F115" s="146">
        <f t="shared" si="8"/>
        <v>-2.5394553125027808E-2</v>
      </c>
      <c r="G115" s="145"/>
      <c r="H115" s="154">
        <v>32.768410000000003</v>
      </c>
      <c r="I115" s="146">
        <f t="shared" si="5"/>
        <v>-5.119254402560891E-3</v>
      </c>
      <c r="J115" s="145"/>
      <c r="K115" s="154">
        <v>149.213211</v>
      </c>
      <c r="L115" s="146">
        <f t="shared" si="6"/>
        <v>-1.6299385795986665E-2</v>
      </c>
      <c r="M115" s="145"/>
      <c r="N115" s="154">
        <v>43.525002000000001</v>
      </c>
      <c r="O115" s="146">
        <f t="shared" si="7"/>
        <v>-2.5195967516418061E-2</v>
      </c>
    </row>
    <row r="116" spans="1:15">
      <c r="A116" s="151">
        <v>44529</v>
      </c>
      <c r="B116" s="154">
        <v>16347.870117</v>
      </c>
      <c r="C116" s="146">
        <f t="shared" si="8"/>
        <v>-1.6661726576654212E-2</v>
      </c>
      <c r="D116" s="145"/>
      <c r="E116" s="154">
        <v>49.244118</v>
      </c>
      <c r="F116" s="146">
        <f t="shared" si="8"/>
        <v>-3.5361996215493852E-3</v>
      </c>
      <c r="G116" s="145"/>
      <c r="H116" s="154">
        <v>32.290652999999999</v>
      </c>
      <c r="I116" s="146">
        <f t="shared" si="5"/>
        <v>-1.4579804146737763E-2</v>
      </c>
      <c r="J116" s="145"/>
      <c r="K116" s="154">
        <v>152.51899700000001</v>
      </c>
      <c r="L116" s="146">
        <f t="shared" si="6"/>
        <v>2.2154780919499295E-2</v>
      </c>
      <c r="M116" s="145"/>
      <c r="N116" s="154">
        <v>41.849997999999999</v>
      </c>
      <c r="O116" s="146">
        <f t="shared" si="7"/>
        <v>-3.8483720230501062E-2</v>
      </c>
    </row>
    <row r="117" spans="1:15">
      <c r="A117" s="151">
        <v>44536</v>
      </c>
      <c r="B117" s="154">
        <v>16856.630859000001</v>
      </c>
      <c r="C117" s="146">
        <f t="shared" si="8"/>
        <v>3.1120919016290882E-2</v>
      </c>
      <c r="D117" s="145"/>
      <c r="E117" s="154">
        <v>52.165683999999999</v>
      </c>
      <c r="F117" s="146">
        <f t="shared" si="8"/>
        <v>5.9328222712812018E-2</v>
      </c>
      <c r="G117" s="145"/>
      <c r="H117" s="154">
        <v>33.086917999999997</v>
      </c>
      <c r="I117" s="146">
        <f t="shared" si="5"/>
        <v>2.4659303111646436E-2</v>
      </c>
      <c r="J117" s="145"/>
      <c r="K117" s="154">
        <v>157.52096599999999</v>
      </c>
      <c r="L117" s="146">
        <f t="shared" si="6"/>
        <v>3.2795711343420297E-2</v>
      </c>
      <c r="M117" s="145"/>
      <c r="N117" s="154">
        <v>44.775002000000001</v>
      </c>
      <c r="O117" s="146">
        <f t="shared" si="7"/>
        <v>6.989257203787691E-2</v>
      </c>
    </row>
    <row r="118" spans="1:15">
      <c r="A118" s="151">
        <v>44543</v>
      </c>
      <c r="B118" s="154">
        <v>16668.640625</v>
      </c>
      <c r="C118" s="146">
        <f t="shared" si="8"/>
        <v>-1.1152301760207872E-2</v>
      </c>
      <c r="D118" s="145"/>
      <c r="E118" s="154">
        <v>53.509686000000002</v>
      </c>
      <c r="F118" s="146">
        <f t="shared" si="8"/>
        <v>2.5764101933370753E-2</v>
      </c>
      <c r="G118" s="145"/>
      <c r="H118" s="154">
        <v>33.424160000000001</v>
      </c>
      <c r="I118" s="146">
        <f t="shared" si="5"/>
        <v>1.0192608450264373E-2</v>
      </c>
      <c r="J118" s="145"/>
      <c r="K118" s="154">
        <v>156.89634699999999</v>
      </c>
      <c r="L118" s="146">
        <f t="shared" si="6"/>
        <v>-3.9653070690285341E-3</v>
      </c>
      <c r="M118" s="145"/>
      <c r="N118" s="154">
        <v>45.810001</v>
      </c>
      <c r="O118" s="146">
        <f t="shared" si="7"/>
        <v>2.3115554523035042E-2</v>
      </c>
    </row>
    <row r="119" spans="1:15">
      <c r="A119" s="151">
        <v>44550</v>
      </c>
      <c r="B119" s="154">
        <v>16963.439452999999</v>
      </c>
      <c r="C119" s="146">
        <f t="shared" si="8"/>
        <v>1.7685835013915518E-2</v>
      </c>
      <c r="D119" s="145"/>
      <c r="E119" s="154">
        <v>53.963867</v>
      </c>
      <c r="F119" s="146">
        <f t="shared" si="8"/>
        <v>8.4878277925233281E-3</v>
      </c>
      <c r="G119" s="145"/>
      <c r="H119" s="154">
        <v>33.667717000000003</v>
      </c>
      <c r="I119" s="146">
        <f t="shared" si="5"/>
        <v>7.2868547781006487E-3</v>
      </c>
      <c r="J119" s="145"/>
      <c r="K119" s="154">
        <v>158.27607699999999</v>
      </c>
      <c r="L119" s="146">
        <f t="shared" si="6"/>
        <v>8.793894991066864E-3</v>
      </c>
      <c r="M119" s="145"/>
      <c r="N119" s="154">
        <v>46.919998</v>
      </c>
      <c r="O119" s="146">
        <f t="shared" si="7"/>
        <v>2.4230451337471148E-2</v>
      </c>
    </row>
    <row r="120" spans="1:15">
      <c r="A120" s="151">
        <v>44557</v>
      </c>
      <c r="B120" s="154">
        <v>17164.130859000001</v>
      </c>
      <c r="C120" s="146">
        <f t="shared" si="8"/>
        <v>1.1830820427428668E-2</v>
      </c>
      <c r="D120" s="145"/>
      <c r="E120" s="154">
        <v>54.881492999999999</v>
      </c>
      <c r="F120" s="146">
        <f t="shared" si="8"/>
        <v>1.7004452256914826E-2</v>
      </c>
      <c r="G120" s="145"/>
      <c r="H120" s="154">
        <v>34.529541000000002</v>
      </c>
      <c r="I120" s="146">
        <f t="shared" si="5"/>
        <v>2.5597934068413375E-2</v>
      </c>
      <c r="J120" s="145"/>
      <c r="K120" s="154">
        <v>161.93980400000001</v>
      </c>
      <c r="L120" s="146">
        <f t="shared" si="6"/>
        <v>2.3147699067623595E-2</v>
      </c>
      <c r="M120" s="145"/>
      <c r="N120" s="154">
        <v>48.02</v>
      </c>
      <c r="O120" s="146">
        <f t="shared" si="7"/>
        <v>2.3444203897877491E-2</v>
      </c>
    </row>
    <row r="121" spans="1:15">
      <c r="A121" s="151">
        <v>44564</v>
      </c>
      <c r="B121" s="154">
        <v>17166.279297000001</v>
      </c>
      <c r="C121" s="146">
        <f t="shared" si="8"/>
        <v>1.2517021791835781E-4</v>
      </c>
      <c r="D121" s="145"/>
      <c r="E121" s="154">
        <v>55.919617000000002</v>
      </c>
      <c r="F121" s="146">
        <f t="shared" si="8"/>
        <v>1.8915739045218816E-2</v>
      </c>
      <c r="G121" s="145"/>
      <c r="H121" s="154">
        <v>34.94173</v>
      </c>
      <c r="I121" s="146">
        <f t="shared" si="5"/>
        <v>1.1937285815643905E-2</v>
      </c>
      <c r="J121" s="145"/>
      <c r="K121" s="154">
        <v>162.284729</v>
      </c>
      <c r="L121" s="146">
        <f t="shared" si="6"/>
        <v>2.1299581170295401E-3</v>
      </c>
      <c r="M121" s="145"/>
      <c r="N121" s="154">
        <v>47.029998999999997</v>
      </c>
      <c r="O121" s="146">
        <f t="shared" si="7"/>
        <v>-2.0616430653894291E-2</v>
      </c>
    </row>
    <row r="122" spans="1:15">
      <c r="A122" s="151">
        <v>44571</v>
      </c>
      <c r="B122" s="154">
        <v>17219.060547000001</v>
      </c>
      <c r="C122" s="146">
        <f t="shared" si="8"/>
        <v>3.0747053037418759E-3</v>
      </c>
      <c r="D122" s="145"/>
      <c r="E122" s="154">
        <v>56.902121999999999</v>
      </c>
      <c r="F122" s="146">
        <f t="shared" si="8"/>
        <v>1.7569952240552578E-2</v>
      </c>
      <c r="G122" s="145"/>
      <c r="H122" s="154">
        <v>36.983150000000002</v>
      </c>
      <c r="I122" s="146">
        <f t="shared" si="5"/>
        <v>5.8423552583114935E-2</v>
      </c>
      <c r="J122" s="145"/>
      <c r="K122" s="154">
        <v>163.73902899999999</v>
      </c>
      <c r="L122" s="146">
        <f t="shared" si="6"/>
        <v>8.9614100412367392E-3</v>
      </c>
      <c r="M122" s="145"/>
      <c r="N122" s="154">
        <v>44.955002</v>
      </c>
      <c r="O122" s="146">
        <f t="shared" si="7"/>
        <v>-4.4120711123127987E-2</v>
      </c>
    </row>
    <row r="123" spans="1:15">
      <c r="A123" s="151">
        <v>44578</v>
      </c>
      <c r="B123" s="154">
        <v>16397.339843999998</v>
      </c>
      <c r="C123" s="146">
        <f t="shared" si="8"/>
        <v>-4.77215757942826E-2</v>
      </c>
      <c r="D123" s="145"/>
      <c r="E123" s="154">
        <v>56.030853</v>
      </c>
      <c r="F123" s="146">
        <f t="shared" si="8"/>
        <v>-1.5311713682663708E-2</v>
      </c>
      <c r="G123" s="145"/>
      <c r="H123" s="154">
        <v>35.617947000000001</v>
      </c>
      <c r="I123" s="146">
        <f t="shared" si="5"/>
        <v>-3.6914189299721678E-2</v>
      </c>
      <c r="J123" s="145"/>
      <c r="K123" s="154">
        <v>162.41523699999999</v>
      </c>
      <c r="L123" s="146">
        <f t="shared" si="6"/>
        <v>-8.0847676212859598E-3</v>
      </c>
      <c r="M123" s="145"/>
      <c r="N123" s="154">
        <v>42.810001</v>
      </c>
      <c r="O123" s="146">
        <f t="shared" si="7"/>
        <v>-4.7714401169418275E-2</v>
      </c>
    </row>
    <row r="124" spans="1:15">
      <c r="A124" s="151">
        <v>44585</v>
      </c>
      <c r="B124" s="154">
        <v>16397.859375</v>
      </c>
      <c r="C124" s="146">
        <f t="shared" si="8"/>
        <v>3.1683858781050844E-5</v>
      </c>
      <c r="D124" s="145"/>
      <c r="E124" s="154">
        <v>56.392338000000002</v>
      </c>
      <c r="F124" s="146">
        <f t="shared" si="8"/>
        <v>6.4515348356377622E-3</v>
      </c>
      <c r="G124" s="145"/>
      <c r="H124" s="154">
        <v>35.439045</v>
      </c>
      <c r="I124" s="146">
        <f t="shared" si="5"/>
        <v>-5.022804935949865E-3</v>
      </c>
      <c r="J124" s="145"/>
      <c r="K124" s="154">
        <v>160.97026099999999</v>
      </c>
      <c r="L124" s="146">
        <f t="shared" si="6"/>
        <v>-8.8968007355122447E-3</v>
      </c>
      <c r="M124" s="145"/>
      <c r="N124" s="154">
        <v>42.654998999999997</v>
      </c>
      <c r="O124" s="146">
        <f t="shared" si="7"/>
        <v>-3.6206960144664624E-3</v>
      </c>
    </row>
    <row r="125" spans="1:15">
      <c r="A125" s="151">
        <v>44592</v>
      </c>
      <c r="B125" s="154">
        <v>16701.580077999999</v>
      </c>
      <c r="C125" s="146">
        <f t="shared" si="8"/>
        <v>1.8521972658397612E-2</v>
      </c>
      <c r="D125" s="145"/>
      <c r="E125" s="154">
        <v>56.503563</v>
      </c>
      <c r="F125" s="146">
        <f t="shared" si="8"/>
        <v>1.9723424129001188E-3</v>
      </c>
      <c r="G125" s="145"/>
      <c r="H125" s="154">
        <v>36.003959999999999</v>
      </c>
      <c r="I125" s="146">
        <f t="shared" ref="I125:I188" si="9">H125/H124-1</f>
        <v>1.5940469050449879E-2</v>
      </c>
      <c r="J125" s="145"/>
      <c r="K125" s="154">
        <v>160.80246</v>
      </c>
      <c r="L125" s="146">
        <f t="shared" ref="L125:L188" si="10">K125/K124-1</f>
        <v>-1.0424347886222041E-3</v>
      </c>
      <c r="M125" s="145"/>
      <c r="N125" s="154">
        <v>42.145000000000003</v>
      </c>
      <c r="O125" s="146">
        <f t="shared" ref="O125:O188" si="11">N125/N124-1</f>
        <v>-1.1956371162967216E-2</v>
      </c>
    </row>
    <row r="126" spans="1:15">
      <c r="A126" s="151">
        <v>44599</v>
      </c>
      <c r="B126" s="154">
        <v>16664.990234000001</v>
      </c>
      <c r="C126" s="146">
        <f t="shared" ref="C126:F189" si="12">B126/B125-1</f>
        <v>-2.1908013391017667E-3</v>
      </c>
      <c r="D126" s="145"/>
      <c r="E126" s="154">
        <v>55.882542000000001</v>
      </c>
      <c r="F126" s="146">
        <f t="shared" si="12"/>
        <v>-1.0990829020817605E-2</v>
      </c>
      <c r="G126" s="145"/>
      <c r="H126" s="154">
        <v>35.806240000000003</v>
      </c>
      <c r="I126" s="146">
        <f t="shared" si="9"/>
        <v>-5.4916181442262735E-3</v>
      </c>
      <c r="J126" s="145"/>
      <c r="K126" s="154">
        <v>157.15737899999999</v>
      </c>
      <c r="L126" s="146">
        <f t="shared" si="10"/>
        <v>-2.2668067391506397E-2</v>
      </c>
      <c r="M126" s="145"/>
      <c r="N126" s="154">
        <v>41.400002000000001</v>
      </c>
      <c r="O126" s="146">
        <f t="shared" si="11"/>
        <v>-1.7677019812551986E-2</v>
      </c>
    </row>
    <row r="127" spans="1:15">
      <c r="A127" s="151">
        <v>44606</v>
      </c>
      <c r="B127" s="154">
        <v>16392.320313</v>
      </c>
      <c r="C127" s="146">
        <f t="shared" si="12"/>
        <v>-1.6361841031487523E-2</v>
      </c>
      <c r="D127" s="145"/>
      <c r="E127" s="154">
        <v>57.968055999999997</v>
      </c>
      <c r="F127" s="146">
        <f t="shared" si="12"/>
        <v>3.7319597952433892E-2</v>
      </c>
      <c r="G127" s="145"/>
      <c r="H127" s="154">
        <v>36.229931000000001</v>
      </c>
      <c r="I127" s="146">
        <f t="shared" si="9"/>
        <v>1.1832881642976245E-2</v>
      </c>
      <c r="J127" s="145"/>
      <c r="K127" s="154">
        <v>156.346329</v>
      </c>
      <c r="L127" s="146">
        <f t="shared" si="10"/>
        <v>-5.1607503584034653E-3</v>
      </c>
      <c r="M127" s="145"/>
      <c r="N127" s="154">
        <v>40.634998000000003</v>
      </c>
      <c r="O127" s="146">
        <f t="shared" si="11"/>
        <v>-1.8478356595248435E-2</v>
      </c>
    </row>
    <row r="128" spans="1:15">
      <c r="A128" s="151">
        <v>44613</v>
      </c>
      <c r="B128" s="154">
        <v>16427.960938</v>
      </c>
      <c r="C128" s="146">
        <f t="shared" si="12"/>
        <v>2.1742269745506082E-3</v>
      </c>
      <c r="D128" s="145"/>
      <c r="E128" s="154">
        <v>58.255394000000003</v>
      </c>
      <c r="F128" s="146">
        <f t="shared" si="12"/>
        <v>4.9568334670393455E-3</v>
      </c>
      <c r="G128" s="145"/>
      <c r="H128" s="154">
        <v>36.060454999999997</v>
      </c>
      <c r="I128" s="146">
        <f t="shared" si="9"/>
        <v>-4.6777897534501234E-3</v>
      </c>
      <c r="J128" s="145"/>
      <c r="K128" s="154">
        <v>156.970932</v>
      </c>
      <c r="L128" s="146">
        <f t="shared" si="10"/>
        <v>3.994996262432382E-3</v>
      </c>
      <c r="M128" s="145"/>
      <c r="N128" s="154">
        <v>42.284999999999997</v>
      </c>
      <c r="O128" s="146">
        <f t="shared" si="11"/>
        <v>4.0605440659797543E-2</v>
      </c>
    </row>
    <row r="129" spans="1:15">
      <c r="A129" s="151">
        <v>44620</v>
      </c>
      <c r="B129" s="154">
        <v>16129.660156</v>
      </c>
      <c r="C129" s="146">
        <f t="shared" si="12"/>
        <v>-1.8158113665220132E-2</v>
      </c>
      <c r="D129" s="145"/>
      <c r="E129" s="154">
        <v>57.995865000000002</v>
      </c>
      <c r="F129" s="146">
        <f t="shared" si="12"/>
        <v>-4.4550209376319483E-3</v>
      </c>
      <c r="G129" s="145"/>
      <c r="H129" s="154">
        <v>36.606537000000003</v>
      </c>
      <c r="I129" s="146">
        <f t="shared" si="9"/>
        <v>1.5143513857493129E-2</v>
      </c>
      <c r="J129" s="145"/>
      <c r="K129" s="154">
        <v>154.51916499999999</v>
      </c>
      <c r="L129" s="146">
        <f t="shared" si="10"/>
        <v>-1.5619242166441505E-2</v>
      </c>
      <c r="M129" s="145"/>
      <c r="N129" s="154">
        <v>40.659999999999997</v>
      </c>
      <c r="O129" s="146">
        <f t="shared" si="11"/>
        <v>-3.8429703204446053E-2</v>
      </c>
    </row>
    <row r="130" spans="1:15">
      <c r="A130" s="151">
        <v>44627</v>
      </c>
      <c r="B130" s="154">
        <v>15753.700194999999</v>
      </c>
      <c r="C130" s="146">
        <f t="shared" si="12"/>
        <v>-2.3308610185450718E-2</v>
      </c>
      <c r="D130" s="145"/>
      <c r="E130" s="154">
        <v>53.685791000000002</v>
      </c>
      <c r="F130" s="146">
        <f t="shared" si="12"/>
        <v>-7.4316918973447499E-2</v>
      </c>
      <c r="G130" s="145"/>
      <c r="H130" s="154">
        <v>34.657589000000002</v>
      </c>
      <c r="I130" s="146">
        <f t="shared" si="9"/>
        <v>-5.3240436264156865E-2</v>
      </c>
      <c r="J130" s="145"/>
      <c r="K130" s="154">
        <v>144.25618</v>
      </c>
      <c r="L130" s="146">
        <f t="shared" si="10"/>
        <v>-6.6418848432166944E-2</v>
      </c>
      <c r="M130" s="145"/>
      <c r="N130" s="154">
        <v>36.610000999999997</v>
      </c>
      <c r="O130" s="146">
        <f t="shared" si="11"/>
        <v>-9.9606468273487403E-2</v>
      </c>
    </row>
    <row r="131" spans="1:15">
      <c r="A131" s="151">
        <v>44634</v>
      </c>
      <c r="B131" s="154">
        <v>16612.640625</v>
      </c>
      <c r="C131" s="146">
        <f t="shared" si="12"/>
        <v>5.4523091043246819E-2</v>
      </c>
      <c r="D131" s="145"/>
      <c r="E131" s="154">
        <v>55.706432</v>
      </c>
      <c r="F131" s="146">
        <f t="shared" si="12"/>
        <v>3.7638283098036185E-2</v>
      </c>
      <c r="G131" s="145"/>
      <c r="H131" s="154">
        <v>35.599110000000003</v>
      </c>
      <c r="I131" s="146">
        <f t="shared" si="9"/>
        <v>2.7166373286958923E-2</v>
      </c>
      <c r="J131" s="145"/>
      <c r="K131" s="154">
        <v>152.757858</v>
      </c>
      <c r="L131" s="146">
        <f t="shared" si="10"/>
        <v>5.8934584293026449E-2</v>
      </c>
      <c r="M131" s="145"/>
      <c r="N131" s="154">
        <v>40.294998</v>
      </c>
      <c r="O131" s="146">
        <f t="shared" si="11"/>
        <v>0.10065547389632701</v>
      </c>
    </row>
    <row r="132" spans="1:15">
      <c r="A132" s="151">
        <v>44641</v>
      </c>
      <c r="B132" s="154">
        <v>16792.800781000002</v>
      </c>
      <c r="C132" s="146">
        <f t="shared" si="12"/>
        <v>1.0844763338158536E-2</v>
      </c>
      <c r="D132" s="145"/>
      <c r="E132" s="154">
        <v>57.468463999999997</v>
      </c>
      <c r="F132" s="146">
        <f t="shared" si="12"/>
        <v>3.1630674174213835E-2</v>
      </c>
      <c r="G132" s="145"/>
      <c r="H132" s="154">
        <v>35.382561000000003</v>
      </c>
      <c r="I132" s="146">
        <f t="shared" si="9"/>
        <v>-6.0829891533805691E-3</v>
      </c>
      <c r="J132" s="145"/>
      <c r="K132" s="154">
        <v>155.05687</v>
      </c>
      <c r="L132" s="146">
        <f t="shared" si="10"/>
        <v>1.5050040829978073E-2</v>
      </c>
      <c r="M132" s="145"/>
      <c r="N132" s="154">
        <v>39.349997999999999</v>
      </c>
      <c r="O132" s="146">
        <f t="shared" si="11"/>
        <v>-2.3452042360195713E-2</v>
      </c>
    </row>
    <row r="133" spans="1:15">
      <c r="A133" s="151">
        <v>44648</v>
      </c>
      <c r="B133" s="154">
        <v>16787.75</v>
      </c>
      <c r="C133" s="146">
        <f t="shared" si="12"/>
        <v>-3.0077061389999216E-4</v>
      </c>
      <c r="D133" s="145"/>
      <c r="E133" s="154">
        <v>58.720008999999997</v>
      </c>
      <c r="F133" s="146">
        <f t="shared" si="12"/>
        <v>2.1777944160818352E-2</v>
      </c>
      <c r="G133" s="145"/>
      <c r="H133" s="154">
        <v>36.003959999999999</v>
      </c>
      <c r="I133" s="146">
        <f t="shared" si="9"/>
        <v>1.7562295730939148E-2</v>
      </c>
      <c r="J133" s="145"/>
      <c r="K133" s="154">
        <v>159.29830899999999</v>
      </c>
      <c r="L133" s="146">
        <f t="shared" si="10"/>
        <v>2.7354086278150724E-2</v>
      </c>
      <c r="M133" s="145"/>
      <c r="N133" s="154">
        <v>41.075001</v>
      </c>
      <c r="O133" s="146">
        <f t="shared" si="11"/>
        <v>4.38374355190565E-2</v>
      </c>
    </row>
    <row r="134" spans="1:15">
      <c r="A134" s="151">
        <v>44655</v>
      </c>
      <c r="B134" s="154">
        <v>16689.949218999998</v>
      </c>
      <c r="C134" s="146">
        <f t="shared" si="12"/>
        <v>-5.8257229825320334E-3</v>
      </c>
      <c r="D134" s="145"/>
      <c r="E134" s="154">
        <v>59.616646000000003</v>
      </c>
      <c r="F134" s="146">
        <f t="shared" si="12"/>
        <v>1.5269701338090913E-2</v>
      </c>
      <c r="G134" s="145"/>
      <c r="H134" s="154">
        <v>35.624020000000002</v>
      </c>
      <c r="I134" s="146">
        <f t="shared" si="9"/>
        <v>-1.0552728088799035E-2</v>
      </c>
      <c r="J134" s="145"/>
      <c r="K134" s="154">
        <v>162.46064799999999</v>
      </c>
      <c r="L134" s="146">
        <f t="shared" si="10"/>
        <v>1.985167965593404E-2</v>
      </c>
      <c r="M134" s="145"/>
      <c r="N134" s="154">
        <v>40.810001</v>
      </c>
      <c r="O134" s="146">
        <f t="shared" si="11"/>
        <v>-6.4516127461566875E-3</v>
      </c>
    </row>
    <row r="135" spans="1:15">
      <c r="A135" s="151">
        <v>44662</v>
      </c>
      <c r="B135" s="154">
        <v>16511.509765999999</v>
      </c>
      <c r="C135" s="146">
        <f t="shared" si="12"/>
        <v>-1.0691431750844527E-2</v>
      </c>
      <c r="D135" s="145"/>
      <c r="E135" s="154">
        <v>60.728081000000003</v>
      </c>
      <c r="F135" s="146">
        <f t="shared" si="12"/>
        <v>1.8643031343963834E-2</v>
      </c>
      <c r="G135" s="145"/>
      <c r="H135" s="154">
        <v>35.236080000000001</v>
      </c>
      <c r="I135" s="146">
        <f t="shared" si="9"/>
        <v>-1.0889843425868295E-2</v>
      </c>
      <c r="J135" s="145"/>
      <c r="K135" s="154">
        <v>161.30642700000001</v>
      </c>
      <c r="L135" s="146">
        <f t="shared" si="10"/>
        <v>-7.104618959786313E-3</v>
      </c>
      <c r="M135" s="145"/>
      <c r="N135" s="154">
        <v>41.294998</v>
      </c>
      <c r="O135" s="146">
        <f t="shared" si="11"/>
        <v>1.1884268270417442E-2</v>
      </c>
    </row>
    <row r="136" spans="1:15">
      <c r="A136" s="151">
        <v>44669</v>
      </c>
      <c r="B136" s="154">
        <v>16056.870117</v>
      </c>
      <c r="C136" s="146">
        <f t="shared" si="12"/>
        <v>-2.753471096484339E-2</v>
      </c>
      <c r="D136" s="145"/>
      <c r="E136" s="154">
        <v>60.942901999999997</v>
      </c>
      <c r="F136" s="146">
        <f t="shared" si="12"/>
        <v>3.5374244741899208E-3</v>
      </c>
      <c r="G136" s="145"/>
      <c r="H136" s="154">
        <v>35.008991000000002</v>
      </c>
      <c r="I136" s="146">
        <f t="shared" si="9"/>
        <v>-6.4447861396613737E-3</v>
      </c>
      <c r="J136" s="145"/>
      <c r="K136" s="154">
        <v>161.54104599999999</v>
      </c>
      <c r="L136" s="146">
        <f t="shared" si="10"/>
        <v>1.4544925726982516E-3</v>
      </c>
      <c r="M136" s="145"/>
      <c r="N136" s="154">
        <v>42.825001</v>
      </c>
      <c r="O136" s="146">
        <f t="shared" si="11"/>
        <v>3.7050564816591081E-2</v>
      </c>
    </row>
    <row r="137" spans="1:15">
      <c r="A137" s="151">
        <v>44676</v>
      </c>
      <c r="B137" s="154">
        <v>15615.25</v>
      </c>
      <c r="C137" s="146">
        <f t="shared" si="12"/>
        <v>-2.7503499360839956E-2</v>
      </c>
      <c r="D137" s="145"/>
      <c r="E137" s="154">
        <v>60.345146</v>
      </c>
      <c r="F137" s="146">
        <f t="shared" si="12"/>
        <v>-9.8084597284191499E-3</v>
      </c>
      <c r="G137" s="145"/>
      <c r="H137" s="154">
        <v>35.387462999999997</v>
      </c>
      <c r="I137" s="146">
        <f t="shared" si="9"/>
        <v>1.0810708597685625E-2</v>
      </c>
      <c r="J137" s="145"/>
      <c r="K137" s="154">
        <v>161.12815900000001</v>
      </c>
      <c r="L137" s="146">
        <f t="shared" si="10"/>
        <v>-2.5559262504712965E-3</v>
      </c>
      <c r="M137" s="145"/>
      <c r="N137" s="154">
        <v>42.84</v>
      </c>
      <c r="O137" s="146">
        <f t="shared" si="11"/>
        <v>3.5023933799793738E-4</v>
      </c>
    </row>
    <row r="138" spans="1:15">
      <c r="A138" s="151">
        <v>44683</v>
      </c>
      <c r="B138" s="154">
        <v>15566.559569999999</v>
      </c>
      <c r="C138" s="146">
        <f t="shared" si="12"/>
        <v>-3.1181332351387647E-3</v>
      </c>
      <c r="D138" s="145"/>
      <c r="E138" s="154">
        <v>60.466568000000002</v>
      </c>
      <c r="F138" s="146">
        <f t="shared" si="12"/>
        <v>2.0121253828766505E-3</v>
      </c>
      <c r="G138" s="145"/>
      <c r="H138" s="154">
        <v>34.971142</v>
      </c>
      <c r="I138" s="146">
        <f t="shared" si="9"/>
        <v>-1.1764646705529458E-2</v>
      </c>
      <c r="J138" s="145"/>
      <c r="K138" s="154">
        <v>159.90827899999999</v>
      </c>
      <c r="L138" s="146">
        <f t="shared" si="10"/>
        <v>-7.5708678580509448E-3</v>
      </c>
      <c r="M138" s="145"/>
      <c r="N138" s="154">
        <v>43.334999000000003</v>
      </c>
      <c r="O138" s="146">
        <f t="shared" si="11"/>
        <v>1.1554598506068992E-2</v>
      </c>
    </row>
    <row r="139" spans="1:15">
      <c r="A139" s="151">
        <v>44690</v>
      </c>
      <c r="B139" s="154">
        <v>15257.360352</v>
      </c>
      <c r="C139" s="146">
        <f t="shared" si="12"/>
        <v>-1.9863041451746999E-2</v>
      </c>
      <c r="D139" s="145"/>
      <c r="E139" s="154">
        <v>61.381886000000002</v>
      </c>
      <c r="F139" s="146">
        <f t="shared" si="12"/>
        <v>1.5137588096615584E-2</v>
      </c>
      <c r="G139" s="145"/>
      <c r="H139" s="154">
        <v>35.207690999999997</v>
      </c>
      <c r="I139" s="146">
        <f t="shared" si="9"/>
        <v>6.764119970688931E-3</v>
      </c>
      <c r="J139" s="145"/>
      <c r="K139" s="154">
        <v>163.01428200000001</v>
      </c>
      <c r="L139" s="146">
        <f t="shared" si="10"/>
        <v>1.9423653480755698E-2</v>
      </c>
      <c r="M139" s="145"/>
      <c r="N139" s="154">
        <v>44.445</v>
      </c>
      <c r="O139" s="146">
        <f t="shared" si="11"/>
        <v>2.5614423113289986E-2</v>
      </c>
    </row>
    <row r="140" spans="1:15">
      <c r="A140" s="151">
        <v>44697</v>
      </c>
      <c r="B140" s="154">
        <v>15080.980469</v>
      </c>
      <c r="C140" s="146">
        <f t="shared" si="12"/>
        <v>-1.1560314427316976E-2</v>
      </c>
      <c r="D140" s="145"/>
      <c r="E140" s="154">
        <v>56.954765000000002</v>
      </c>
      <c r="F140" s="146">
        <f t="shared" si="12"/>
        <v>-7.2124225703980471E-2</v>
      </c>
      <c r="G140" s="145"/>
      <c r="H140" s="154">
        <v>32.719219000000002</v>
      </c>
      <c r="I140" s="146">
        <f t="shared" si="9"/>
        <v>-7.0679784141481905E-2</v>
      </c>
      <c r="J140" s="145"/>
      <c r="K140" s="154">
        <v>152.21360799999999</v>
      </c>
      <c r="L140" s="146">
        <f t="shared" si="10"/>
        <v>-6.6255998354794565E-2</v>
      </c>
      <c r="M140" s="145"/>
      <c r="N140" s="154">
        <v>43.814999</v>
      </c>
      <c r="O140" s="146">
        <f t="shared" si="11"/>
        <v>-1.4174845314433582E-2</v>
      </c>
    </row>
    <row r="141" spans="1:15">
      <c r="A141" s="151">
        <v>44704</v>
      </c>
      <c r="B141" s="154">
        <v>15942.620117</v>
      </c>
      <c r="C141" s="146">
        <f t="shared" si="12"/>
        <v>5.7134192950595075E-2</v>
      </c>
      <c r="D141" s="145"/>
      <c r="E141" s="154">
        <v>60.410533999999998</v>
      </c>
      <c r="F141" s="146">
        <f t="shared" si="12"/>
        <v>6.0675678321207904E-2</v>
      </c>
      <c r="G141" s="145"/>
      <c r="H141" s="154">
        <v>33.286934000000002</v>
      </c>
      <c r="I141" s="146">
        <f t="shared" si="9"/>
        <v>1.735111709115067E-2</v>
      </c>
      <c r="J141" s="145"/>
      <c r="K141" s="154">
        <v>161.18446399999999</v>
      </c>
      <c r="L141" s="146">
        <f t="shared" si="10"/>
        <v>5.8935965830335002E-2</v>
      </c>
      <c r="M141" s="145"/>
      <c r="N141" s="154">
        <v>44.834999000000003</v>
      </c>
      <c r="O141" s="146">
        <f t="shared" si="11"/>
        <v>2.3279699264628695E-2</v>
      </c>
    </row>
    <row r="142" spans="1:15">
      <c r="A142" s="151">
        <v>44711</v>
      </c>
      <c r="B142" s="154">
        <v>15797.169921999999</v>
      </c>
      <c r="C142" s="146">
        <f t="shared" si="12"/>
        <v>-9.1233557553631606E-3</v>
      </c>
      <c r="D142" s="145"/>
      <c r="E142" s="154">
        <v>58.813408000000003</v>
      </c>
      <c r="F142" s="146">
        <f t="shared" si="12"/>
        <v>-2.6437872573680576E-2</v>
      </c>
      <c r="G142" s="145"/>
      <c r="H142" s="154">
        <v>33.050381000000002</v>
      </c>
      <c r="I142" s="146">
        <f t="shared" si="9"/>
        <v>-7.1064820809270124E-3</v>
      </c>
      <c r="J142" s="145"/>
      <c r="K142" s="154">
        <v>154.69091800000001</v>
      </c>
      <c r="L142" s="146">
        <f t="shared" si="10"/>
        <v>-4.0286426116105001E-2</v>
      </c>
      <c r="M142" s="145"/>
      <c r="N142" s="154">
        <v>44.415000999999997</v>
      </c>
      <c r="O142" s="146">
        <f t="shared" si="11"/>
        <v>-9.3676370997578529E-3</v>
      </c>
    </row>
    <row r="143" spans="1:15">
      <c r="A143" s="151">
        <v>44718</v>
      </c>
      <c r="B143" s="154">
        <v>15096.690430000001</v>
      </c>
      <c r="C143" s="146">
        <f t="shared" si="12"/>
        <v>-4.4342087567499799E-2</v>
      </c>
      <c r="D143" s="145"/>
      <c r="E143" s="154">
        <v>57.356380000000001</v>
      </c>
      <c r="F143" s="146">
        <f t="shared" si="12"/>
        <v>-2.4773738668570244E-2</v>
      </c>
      <c r="G143" s="145"/>
      <c r="H143" s="154">
        <v>33.580249999999999</v>
      </c>
      <c r="I143" s="146">
        <f t="shared" si="9"/>
        <v>1.6032160113373495E-2</v>
      </c>
      <c r="J143" s="145"/>
      <c r="K143" s="154">
        <v>153.56521599999999</v>
      </c>
      <c r="L143" s="146">
        <f t="shared" si="10"/>
        <v>-7.2771046584649834E-3</v>
      </c>
      <c r="M143" s="145"/>
      <c r="N143" s="154">
        <v>43.52</v>
      </c>
      <c r="O143" s="146">
        <f t="shared" si="11"/>
        <v>-2.0150871999304765E-2</v>
      </c>
    </row>
    <row r="144" spans="1:15">
      <c r="A144" s="151">
        <v>44725</v>
      </c>
      <c r="B144" s="154">
        <v>14097.049805000001</v>
      </c>
      <c r="C144" s="146">
        <f t="shared" si="12"/>
        <v>-6.6215878879885115E-2</v>
      </c>
      <c r="D144" s="145"/>
      <c r="E144" s="154">
        <v>55.507083999999999</v>
      </c>
      <c r="F144" s="146">
        <f t="shared" si="12"/>
        <v>-3.2242202175241874E-2</v>
      </c>
      <c r="G144" s="145"/>
      <c r="H144" s="154">
        <v>32.501590999999998</v>
      </c>
      <c r="I144" s="146">
        <f t="shared" si="9"/>
        <v>-3.2121827562332061E-2</v>
      </c>
      <c r="J144" s="145"/>
      <c r="K144" s="154">
        <v>148.40606700000001</v>
      </c>
      <c r="L144" s="146">
        <f t="shared" si="10"/>
        <v>-3.3595817688297225E-2</v>
      </c>
      <c r="M144" s="145"/>
      <c r="N144" s="154">
        <v>44.060001</v>
      </c>
      <c r="O144" s="146">
        <f t="shared" si="11"/>
        <v>1.2408111213235262E-2</v>
      </c>
    </row>
    <row r="145" spans="1:15">
      <c r="A145" s="151">
        <v>44732</v>
      </c>
      <c r="B145" s="154">
        <v>14811.549805000001</v>
      </c>
      <c r="C145" s="146">
        <f t="shared" si="12"/>
        <v>5.0684363741595018E-2</v>
      </c>
      <c r="D145" s="145"/>
      <c r="E145" s="154">
        <v>59.304192</v>
      </c>
      <c r="F145" s="146">
        <f t="shared" si="12"/>
        <v>6.8407628835267298E-2</v>
      </c>
      <c r="G145" s="145"/>
      <c r="H145" s="154">
        <v>33.835715999999998</v>
      </c>
      <c r="I145" s="146">
        <f t="shared" si="9"/>
        <v>4.1047990542986135E-2</v>
      </c>
      <c r="J145" s="145"/>
      <c r="K145" s="154">
        <v>156.97633400000001</v>
      </c>
      <c r="L145" s="146">
        <f t="shared" si="10"/>
        <v>5.7748764408668052E-2</v>
      </c>
      <c r="M145" s="145"/>
      <c r="N145" s="154">
        <v>47.290000999999997</v>
      </c>
      <c r="O145" s="146">
        <f t="shared" si="11"/>
        <v>7.3309122258077064E-2</v>
      </c>
    </row>
    <row r="146" spans="1:15">
      <c r="A146" s="151">
        <v>44739</v>
      </c>
      <c r="B146" s="154">
        <v>14636.759765999999</v>
      </c>
      <c r="C146" s="146">
        <f t="shared" si="12"/>
        <v>-1.1800928417429857E-2</v>
      </c>
      <c r="D146" s="145"/>
      <c r="E146" s="154">
        <v>60.564770000000003</v>
      </c>
      <c r="F146" s="146">
        <f t="shared" si="12"/>
        <v>2.1256136497062483E-2</v>
      </c>
      <c r="G146" s="145"/>
      <c r="H146" s="154">
        <v>34.129040000000003</v>
      </c>
      <c r="I146" s="146">
        <f t="shared" si="9"/>
        <v>8.6690643697329151E-3</v>
      </c>
      <c r="J146" s="145"/>
      <c r="K146" s="154">
        <v>160.056702</v>
      </c>
      <c r="L146" s="146">
        <f t="shared" si="10"/>
        <v>1.9623136313019041E-2</v>
      </c>
      <c r="M146" s="145"/>
      <c r="N146" s="154">
        <v>47.294998</v>
      </c>
      <c r="O146" s="146">
        <f t="shared" si="11"/>
        <v>1.0566715784166014E-4</v>
      </c>
    </row>
    <row r="147" spans="1:15">
      <c r="A147" s="151">
        <v>44746</v>
      </c>
      <c r="B147" s="154">
        <v>14642.330078000001</v>
      </c>
      <c r="C147" s="146">
        <f t="shared" si="12"/>
        <v>3.8057002294600295E-4</v>
      </c>
      <c r="D147" s="145"/>
      <c r="E147" s="154">
        <v>59.398254000000001</v>
      </c>
      <c r="F147" s="146">
        <f t="shared" si="12"/>
        <v>-1.9260636175122969E-2</v>
      </c>
      <c r="G147" s="145"/>
      <c r="H147" s="154">
        <v>34.433475000000001</v>
      </c>
      <c r="I147" s="146">
        <f t="shared" si="9"/>
        <v>8.9201161239811366E-3</v>
      </c>
      <c r="J147" s="145"/>
      <c r="K147" s="154">
        <v>162.40950000000001</v>
      </c>
      <c r="L147" s="146">
        <f t="shared" si="10"/>
        <v>1.4699778082394976E-2</v>
      </c>
      <c r="M147" s="145"/>
      <c r="N147" s="154">
        <v>48.740001999999997</v>
      </c>
      <c r="O147" s="146">
        <f t="shared" si="11"/>
        <v>3.0552998437593626E-2</v>
      </c>
    </row>
    <row r="148" spans="1:15">
      <c r="A148" s="151">
        <v>44753</v>
      </c>
      <c r="B148" s="154">
        <v>14449.679688</v>
      </c>
      <c r="C148" s="146">
        <f t="shared" si="12"/>
        <v>-1.3157085584995509E-2</v>
      </c>
      <c r="D148" s="145"/>
      <c r="E148" s="154">
        <v>58.796180999999997</v>
      </c>
      <c r="F148" s="146">
        <f t="shared" si="12"/>
        <v>-1.0136207033964451E-2</v>
      </c>
      <c r="G148" s="145"/>
      <c r="H148" s="154">
        <v>34.842486999999998</v>
      </c>
      <c r="I148" s="146">
        <f t="shared" si="9"/>
        <v>1.1878324798760387E-2</v>
      </c>
      <c r="J148" s="145"/>
      <c r="K148" s="154">
        <v>161.69136</v>
      </c>
      <c r="L148" s="146">
        <f t="shared" si="10"/>
        <v>-4.421785671404721E-3</v>
      </c>
      <c r="M148" s="145"/>
      <c r="N148" s="154">
        <v>48.575001</v>
      </c>
      <c r="O148" s="146">
        <f t="shared" si="11"/>
        <v>-3.3853301852551088E-3</v>
      </c>
    </row>
    <row r="149" spans="1:15">
      <c r="A149" s="151">
        <v>44760</v>
      </c>
      <c r="B149" s="154">
        <v>14790.790039</v>
      </c>
      <c r="C149" s="146">
        <f t="shared" si="12"/>
        <v>2.3606775953883607E-2</v>
      </c>
      <c r="D149" s="145"/>
      <c r="E149" s="154">
        <v>57.940109</v>
      </c>
      <c r="F149" s="146">
        <f t="shared" si="12"/>
        <v>-1.4559993275753746E-2</v>
      </c>
      <c r="G149" s="145"/>
      <c r="H149" s="154">
        <v>34.652248</v>
      </c>
      <c r="I149" s="146">
        <f t="shared" si="9"/>
        <v>-5.4599719015464565E-3</v>
      </c>
      <c r="J149" s="145"/>
      <c r="K149" s="154">
        <v>160.26457199999999</v>
      </c>
      <c r="L149" s="146">
        <f t="shared" si="10"/>
        <v>-8.8241449635899638E-3</v>
      </c>
      <c r="M149" s="145"/>
      <c r="N149" s="154">
        <v>47.534999999999997</v>
      </c>
      <c r="O149" s="146">
        <f t="shared" si="11"/>
        <v>-2.1410210573130084E-2</v>
      </c>
    </row>
    <row r="150" spans="1:15">
      <c r="A150" s="151">
        <v>44767</v>
      </c>
      <c r="B150" s="154">
        <v>15327.709961</v>
      </c>
      <c r="C150" s="146">
        <f t="shared" si="12"/>
        <v>3.6300963003616626E-2</v>
      </c>
      <c r="D150" s="145"/>
      <c r="E150" s="154">
        <v>60.36721</v>
      </c>
      <c r="F150" s="146">
        <f t="shared" si="12"/>
        <v>4.188982454278789E-2</v>
      </c>
      <c r="G150" s="145"/>
      <c r="H150" s="154">
        <v>36.849528999999997</v>
      </c>
      <c r="I150" s="146">
        <f t="shared" si="9"/>
        <v>6.3409479234940225E-2</v>
      </c>
      <c r="J150" s="145"/>
      <c r="K150" s="154">
        <v>165.319794</v>
      </c>
      <c r="L150" s="146">
        <f t="shared" si="10"/>
        <v>3.154297881879975E-2</v>
      </c>
      <c r="M150" s="145"/>
      <c r="N150" s="154">
        <v>49.810001</v>
      </c>
      <c r="O150" s="146">
        <f t="shared" si="11"/>
        <v>4.785949300515413E-2</v>
      </c>
    </row>
    <row r="151" spans="1:15">
      <c r="A151" s="151">
        <v>44774</v>
      </c>
      <c r="B151" s="154">
        <v>15273.230469</v>
      </c>
      <c r="C151" s="146">
        <f t="shared" si="12"/>
        <v>-3.5543138628417736E-3</v>
      </c>
      <c r="D151" s="145"/>
      <c r="E151" s="154">
        <v>59.624026999999998</v>
      </c>
      <c r="F151" s="146">
        <f t="shared" si="12"/>
        <v>-1.2311037730582619E-2</v>
      </c>
      <c r="G151" s="145"/>
      <c r="H151" s="154">
        <v>36.830502000000003</v>
      </c>
      <c r="I151" s="146">
        <f t="shared" si="9"/>
        <v>-5.1634309898485053E-4</v>
      </c>
      <c r="J151" s="145"/>
      <c r="K151" s="154">
        <v>164.93240399999999</v>
      </c>
      <c r="L151" s="146">
        <f t="shared" si="10"/>
        <v>-2.3432765709834324E-3</v>
      </c>
      <c r="M151" s="145"/>
      <c r="N151" s="154">
        <v>45.689999</v>
      </c>
      <c r="O151" s="146">
        <f t="shared" si="11"/>
        <v>-8.2714352886682274E-2</v>
      </c>
    </row>
    <row r="152" spans="1:15">
      <c r="A152" s="151">
        <v>44781</v>
      </c>
      <c r="B152" s="154">
        <v>15804.379883</v>
      </c>
      <c r="C152" s="146">
        <f t="shared" si="12"/>
        <v>3.4776494408178538E-2</v>
      </c>
      <c r="D152" s="145"/>
      <c r="E152" s="154">
        <v>59.925072</v>
      </c>
      <c r="F152" s="146">
        <f t="shared" si="12"/>
        <v>5.04905514013676E-3</v>
      </c>
      <c r="G152" s="145"/>
      <c r="H152" s="154">
        <v>37.382198000000002</v>
      </c>
      <c r="I152" s="146">
        <f t="shared" si="9"/>
        <v>1.4979323387989574E-2</v>
      </c>
      <c r="J152" s="145"/>
      <c r="K152" s="154">
        <v>167.55920399999999</v>
      </c>
      <c r="L152" s="146">
        <f t="shared" si="10"/>
        <v>1.592652466279465E-2</v>
      </c>
      <c r="M152" s="145"/>
      <c r="N152" s="154">
        <v>45.009998000000003</v>
      </c>
      <c r="O152" s="146">
        <f t="shared" si="11"/>
        <v>-1.4882928756465907E-2</v>
      </c>
    </row>
    <row r="153" spans="1:15">
      <c r="A153" s="151">
        <v>44788</v>
      </c>
      <c r="B153" s="154">
        <v>15588.320313</v>
      </c>
      <c r="C153" s="146">
        <f t="shared" si="12"/>
        <v>-1.3670866658451075E-2</v>
      </c>
      <c r="D153" s="145"/>
      <c r="E153" s="154">
        <v>61.307952999999998</v>
      </c>
      <c r="F153" s="146">
        <f t="shared" si="12"/>
        <v>2.3076835018237318E-2</v>
      </c>
      <c r="G153" s="145"/>
      <c r="H153" s="154">
        <v>38.009987000000002</v>
      </c>
      <c r="I153" s="146">
        <f t="shared" si="9"/>
        <v>1.6793795806228307E-2</v>
      </c>
      <c r="J153" s="145"/>
      <c r="K153" s="154">
        <v>170.242706</v>
      </c>
      <c r="L153" s="146">
        <f t="shared" si="10"/>
        <v>1.6015246766152069E-2</v>
      </c>
      <c r="M153" s="145"/>
      <c r="N153" s="154">
        <v>45.294998</v>
      </c>
      <c r="O153" s="146">
        <f t="shared" si="11"/>
        <v>6.3319265199699437E-3</v>
      </c>
    </row>
    <row r="154" spans="1:15">
      <c r="A154" s="151">
        <v>44795</v>
      </c>
      <c r="B154" s="154">
        <v>15178.209961</v>
      </c>
      <c r="C154" s="146">
        <f t="shared" si="12"/>
        <v>-2.6308822487948524E-2</v>
      </c>
      <c r="D154" s="145"/>
      <c r="E154" s="154">
        <v>59.370032999999999</v>
      </c>
      <c r="F154" s="146">
        <f t="shared" si="12"/>
        <v>-3.1609602101704493E-2</v>
      </c>
      <c r="G154" s="145"/>
      <c r="H154" s="154">
        <v>36.735374</v>
      </c>
      <c r="I154" s="146">
        <f t="shared" si="9"/>
        <v>-3.3533634199874984E-2</v>
      </c>
      <c r="J154" s="145"/>
      <c r="K154" s="154">
        <v>165.395355</v>
      </c>
      <c r="L154" s="146">
        <f t="shared" si="10"/>
        <v>-2.8473178756921347E-2</v>
      </c>
      <c r="M154" s="145"/>
      <c r="N154" s="154">
        <v>44.575001</v>
      </c>
      <c r="O154" s="146">
        <f t="shared" si="11"/>
        <v>-1.5895728707174261E-2</v>
      </c>
    </row>
    <row r="155" spans="1:15">
      <c r="A155" s="151">
        <v>44802</v>
      </c>
      <c r="B155" s="154">
        <v>14689.5</v>
      </c>
      <c r="C155" s="146">
        <f t="shared" si="12"/>
        <v>-3.2198128913470514E-2</v>
      </c>
      <c r="D155" s="145"/>
      <c r="E155" s="154">
        <v>57.526195999999999</v>
      </c>
      <c r="F155" s="146">
        <f t="shared" si="12"/>
        <v>-3.1056694881742786E-2</v>
      </c>
      <c r="G155" s="145"/>
      <c r="H155" s="154">
        <v>35.983936</v>
      </c>
      <c r="I155" s="146">
        <f t="shared" si="9"/>
        <v>-2.0455433501235132E-2</v>
      </c>
      <c r="J155" s="145"/>
      <c r="K155" s="154">
        <v>161.25672900000001</v>
      </c>
      <c r="L155" s="146">
        <f t="shared" si="10"/>
        <v>-2.5022625333099513E-2</v>
      </c>
      <c r="M155" s="145"/>
      <c r="N155" s="154">
        <v>44.195</v>
      </c>
      <c r="O155" s="146">
        <f t="shared" si="11"/>
        <v>-8.5249801789123447E-3</v>
      </c>
    </row>
    <row r="156" spans="1:15">
      <c r="A156" s="151">
        <v>44809</v>
      </c>
      <c r="B156" s="154">
        <v>15190.790039</v>
      </c>
      <c r="C156" s="146">
        <f t="shared" si="12"/>
        <v>3.4125738724939625E-2</v>
      </c>
      <c r="D156" s="145"/>
      <c r="E156" s="154">
        <v>58.626854000000002</v>
      </c>
      <c r="F156" s="146">
        <f t="shared" si="12"/>
        <v>1.9133161525229259E-2</v>
      </c>
      <c r="G156" s="145"/>
      <c r="H156" s="154">
        <v>36.801960000000001</v>
      </c>
      <c r="I156" s="146">
        <f t="shared" si="9"/>
        <v>2.2733032873335501E-2</v>
      </c>
      <c r="J156" s="145"/>
      <c r="K156" s="154">
        <v>164.77563499999999</v>
      </c>
      <c r="L156" s="146">
        <f t="shared" si="10"/>
        <v>2.1821762241003739E-2</v>
      </c>
      <c r="M156" s="145"/>
      <c r="N156" s="154">
        <v>46.215000000000003</v>
      </c>
      <c r="O156" s="146">
        <f t="shared" si="11"/>
        <v>4.5706527887770187E-2</v>
      </c>
    </row>
    <row r="157" spans="1:15">
      <c r="A157" s="151">
        <v>44816</v>
      </c>
      <c r="B157" s="154">
        <v>14573.910156</v>
      </c>
      <c r="C157" s="146">
        <f t="shared" si="12"/>
        <v>-4.060880845671988E-2</v>
      </c>
      <c r="D157" s="145"/>
      <c r="E157" s="154">
        <v>56.011592999999998</v>
      </c>
      <c r="F157" s="146">
        <f t="shared" si="12"/>
        <v>-4.4608585000996404E-2</v>
      </c>
      <c r="G157" s="145"/>
      <c r="H157" s="154">
        <v>35.356135999999999</v>
      </c>
      <c r="I157" s="146">
        <f t="shared" si="9"/>
        <v>-3.9286603213524507E-2</v>
      </c>
      <c r="J157" s="145"/>
      <c r="K157" s="154">
        <v>158.830307</v>
      </c>
      <c r="L157" s="146">
        <f t="shared" si="10"/>
        <v>-3.6081353896769919E-2</v>
      </c>
      <c r="M157" s="145"/>
      <c r="N157" s="154">
        <v>43.619999</v>
      </c>
      <c r="O157" s="146">
        <f t="shared" si="11"/>
        <v>-5.6150622092394298E-2</v>
      </c>
    </row>
    <row r="158" spans="1:15">
      <c r="A158" s="151">
        <v>44823</v>
      </c>
      <c r="B158" s="154">
        <v>13796.990234000001</v>
      </c>
      <c r="C158" s="146">
        <f t="shared" si="12"/>
        <v>-5.3308955090555776E-2</v>
      </c>
      <c r="D158" s="145"/>
      <c r="E158" s="154">
        <v>55.529221</v>
      </c>
      <c r="F158" s="146">
        <f t="shared" si="12"/>
        <v>-8.6120028759045786E-3</v>
      </c>
      <c r="G158" s="145"/>
      <c r="H158" s="154">
        <v>35.270535000000002</v>
      </c>
      <c r="I158" s="146">
        <f t="shared" si="9"/>
        <v>-2.4211073291492413E-3</v>
      </c>
      <c r="J158" s="145"/>
      <c r="K158" s="154">
        <v>160.30474899999999</v>
      </c>
      <c r="L158" s="146">
        <f t="shared" si="10"/>
        <v>9.2831275582687667E-3</v>
      </c>
      <c r="M158" s="145"/>
      <c r="N158" s="154">
        <v>43.544998</v>
      </c>
      <c r="O158" s="146">
        <f t="shared" si="11"/>
        <v>-1.7194177377216624E-3</v>
      </c>
    </row>
    <row r="159" spans="1:15">
      <c r="A159" s="151">
        <v>44830</v>
      </c>
      <c r="B159" s="154">
        <v>13472.179688</v>
      </c>
      <c r="C159" s="146">
        <f t="shared" si="12"/>
        <v>-2.3542130601757472E-2</v>
      </c>
      <c r="D159" s="145"/>
      <c r="E159" s="154">
        <v>53.084423000000001</v>
      </c>
      <c r="F159" s="146">
        <f t="shared" si="12"/>
        <v>-4.4027233877456995E-2</v>
      </c>
      <c r="G159" s="145"/>
      <c r="H159" s="154">
        <v>34.072020999999999</v>
      </c>
      <c r="I159" s="146">
        <f t="shared" si="9"/>
        <v>-3.3980601655177689E-2</v>
      </c>
      <c r="J159" s="145"/>
      <c r="K159" s="154">
        <v>155.30117799999999</v>
      </c>
      <c r="L159" s="146">
        <f t="shared" si="10"/>
        <v>-3.1212868185208853E-2</v>
      </c>
      <c r="M159" s="145"/>
      <c r="N159" s="154">
        <v>43.48</v>
      </c>
      <c r="O159" s="146">
        <f t="shared" si="11"/>
        <v>-1.492662831216629E-3</v>
      </c>
    </row>
    <row r="160" spans="1:15">
      <c r="A160" s="151">
        <v>44837</v>
      </c>
      <c r="B160" s="154">
        <v>13798.259765999999</v>
      </c>
      <c r="C160" s="146">
        <f t="shared" si="12"/>
        <v>2.4203958494589228E-2</v>
      </c>
      <c r="D160" s="145"/>
      <c r="E160" s="154">
        <v>51.653545000000001</v>
      </c>
      <c r="F160" s="146">
        <f t="shared" si="12"/>
        <v>-2.6954762228460161E-2</v>
      </c>
      <c r="G160" s="145"/>
      <c r="H160" s="154">
        <v>34.909756000000002</v>
      </c>
      <c r="I160" s="146">
        <f t="shared" si="9"/>
        <v>2.4587182544880459E-2</v>
      </c>
      <c r="J160" s="145"/>
      <c r="K160" s="154">
        <v>153.73159799999999</v>
      </c>
      <c r="L160" s="146">
        <f t="shared" si="10"/>
        <v>-1.0106684445110869E-2</v>
      </c>
      <c r="M160" s="145"/>
      <c r="N160" s="154">
        <v>45.145000000000003</v>
      </c>
      <c r="O160" s="146">
        <f t="shared" si="11"/>
        <v>3.829346826126967E-2</v>
      </c>
    </row>
    <row r="161" spans="1:15">
      <c r="A161" s="151">
        <v>44844</v>
      </c>
      <c r="B161" s="154">
        <v>13607.309569999999</v>
      </c>
      <c r="C161" s="146">
        <f t="shared" si="12"/>
        <v>-1.3838715840856719E-2</v>
      </c>
      <c r="D161" s="145"/>
      <c r="E161" s="154">
        <v>52.098922999999999</v>
      </c>
      <c r="F161" s="146">
        <f t="shared" si="12"/>
        <v>8.6224091686253335E-3</v>
      </c>
      <c r="G161" s="145"/>
      <c r="H161" s="154">
        <v>35.703598</v>
      </c>
      <c r="I161" s="146">
        <f t="shared" si="9"/>
        <v>2.2739832383818381E-2</v>
      </c>
      <c r="J161" s="145"/>
      <c r="K161" s="154">
        <v>161.893326</v>
      </c>
      <c r="L161" s="146">
        <f t="shared" si="10"/>
        <v>5.3090764073108865E-2</v>
      </c>
      <c r="M161" s="145"/>
      <c r="N161" s="154">
        <v>43.700001</v>
      </c>
      <c r="O161" s="146">
        <f t="shared" si="11"/>
        <v>-3.2007952154169961E-2</v>
      </c>
    </row>
    <row r="162" spans="1:15">
      <c r="A162" s="151">
        <v>44851</v>
      </c>
      <c r="B162" s="154">
        <v>14144.049805000001</v>
      </c>
      <c r="C162" s="146">
        <f t="shared" si="12"/>
        <v>3.944499331325213E-2</v>
      </c>
      <c r="D162" s="145"/>
      <c r="E162" s="154">
        <v>53.027565000000003</v>
      </c>
      <c r="F162" s="146">
        <f t="shared" si="12"/>
        <v>1.7824591114868227E-2</v>
      </c>
      <c r="G162" s="145"/>
      <c r="H162" s="154">
        <v>35.980961000000001</v>
      </c>
      <c r="I162" s="146">
        <f t="shared" si="9"/>
        <v>7.7684887668745262E-3</v>
      </c>
      <c r="J162" s="145"/>
      <c r="K162" s="154">
        <v>164.623413</v>
      </c>
      <c r="L162" s="146">
        <f t="shared" si="10"/>
        <v>1.6863493186865419E-2</v>
      </c>
      <c r="M162" s="145"/>
      <c r="N162" s="154">
        <v>43.794998</v>
      </c>
      <c r="O162" s="146">
        <f t="shared" si="11"/>
        <v>2.1738443438479305E-3</v>
      </c>
    </row>
    <row r="163" spans="1:15">
      <c r="A163" s="151">
        <v>44858</v>
      </c>
      <c r="B163" s="154">
        <v>14795.629883</v>
      </c>
      <c r="C163" s="146">
        <f t="shared" si="12"/>
        <v>4.6067433796058932E-2</v>
      </c>
      <c r="D163" s="145"/>
      <c r="E163" s="154">
        <v>57.576037999999997</v>
      </c>
      <c r="F163" s="146">
        <f t="shared" si="12"/>
        <v>8.5775633861369993E-2</v>
      </c>
      <c r="G163" s="145"/>
      <c r="H163" s="154">
        <v>37.826866000000003</v>
      </c>
      <c r="I163" s="146">
        <f t="shared" si="9"/>
        <v>5.1302270664755234E-2</v>
      </c>
      <c r="J163" s="145"/>
      <c r="K163" s="154">
        <v>173.346405</v>
      </c>
      <c r="L163" s="146">
        <f t="shared" si="10"/>
        <v>5.2987554085031752E-2</v>
      </c>
      <c r="M163" s="145"/>
      <c r="N163" s="154">
        <v>46.77</v>
      </c>
      <c r="O163" s="146">
        <f t="shared" si="11"/>
        <v>6.7930177779663481E-2</v>
      </c>
    </row>
    <row r="164" spans="1:15">
      <c r="A164" s="151">
        <v>44865</v>
      </c>
      <c r="B164" s="154">
        <v>14702.769531</v>
      </c>
      <c r="C164" s="146">
        <f t="shared" si="12"/>
        <v>-6.2762013333880207E-3</v>
      </c>
      <c r="D164" s="145"/>
      <c r="E164" s="154">
        <v>56.154640000000001</v>
      </c>
      <c r="F164" s="146">
        <f t="shared" si="12"/>
        <v>-2.4687318707132921E-2</v>
      </c>
      <c r="G164" s="145"/>
      <c r="H164" s="154">
        <v>35.368839000000001</v>
      </c>
      <c r="I164" s="146">
        <f t="shared" si="9"/>
        <v>-6.4980984678984499E-2</v>
      </c>
      <c r="J164" s="145"/>
      <c r="K164" s="154">
        <v>170.06459000000001</v>
      </c>
      <c r="L164" s="146">
        <f t="shared" si="10"/>
        <v>-1.8932120340193981E-2</v>
      </c>
      <c r="M164" s="145"/>
      <c r="N164" s="154">
        <v>48.970001000000003</v>
      </c>
      <c r="O164" s="146">
        <f t="shared" si="11"/>
        <v>4.7038721402608452E-2</v>
      </c>
    </row>
    <row r="165" spans="1:15">
      <c r="A165" s="151">
        <v>44872</v>
      </c>
      <c r="B165" s="154">
        <v>15352.690430000001</v>
      </c>
      <c r="C165" s="146">
        <f t="shared" si="12"/>
        <v>4.4203977871630107E-2</v>
      </c>
      <c r="D165" s="145"/>
      <c r="E165" s="154">
        <v>58.106693</v>
      </c>
      <c r="F165" s="146">
        <f t="shared" si="12"/>
        <v>3.476209623995441E-2</v>
      </c>
      <c r="G165" s="145"/>
      <c r="H165" s="154">
        <v>35.713154000000003</v>
      </c>
      <c r="I165" s="146">
        <f t="shared" si="9"/>
        <v>9.7349816882594808E-3</v>
      </c>
      <c r="J165" s="145"/>
      <c r="K165" s="154">
        <v>169.370148</v>
      </c>
      <c r="L165" s="146">
        <f t="shared" si="10"/>
        <v>-4.0834014888108117E-3</v>
      </c>
      <c r="M165" s="145"/>
      <c r="N165" s="154">
        <v>49.060001</v>
      </c>
      <c r="O165" s="146">
        <f t="shared" si="11"/>
        <v>1.8378598767028187E-3</v>
      </c>
    </row>
    <row r="166" spans="1:15">
      <c r="A166" s="151">
        <v>44879</v>
      </c>
      <c r="B166" s="154">
        <v>15309.769531</v>
      </c>
      <c r="C166" s="146">
        <f t="shared" si="12"/>
        <v>-2.7956597702335495E-3</v>
      </c>
      <c r="D166" s="145"/>
      <c r="E166" s="154">
        <v>57.936118999999998</v>
      </c>
      <c r="F166" s="146">
        <f t="shared" si="12"/>
        <v>-2.9355310239390642E-3</v>
      </c>
      <c r="G166" s="145"/>
      <c r="H166" s="154">
        <v>35.789664999999999</v>
      </c>
      <c r="I166" s="146">
        <f t="shared" si="9"/>
        <v>2.1423758876071286E-3</v>
      </c>
      <c r="J166" s="145"/>
      <c r="K166" s="154">
        <v>172.49026499999999</v>
      </c>
      <c r="L166" s="146">
        <f t="shared" si="10"/>
        <v>1.8421882703910653E-2</v>
      </c>
      <c r="M166" s="145"/>
      <c r="N166" s="154">
        <v>49.849997999999999</v>
      </c>
      <c r="O166" s="146">
        <f t="shared" si="11"/>
        <v>1.6102669871531416E-2</v>
      </c>
    </row>
    <row r="167" spans="1:15">
      <c r="A167" s="151">
        <v>44886</v>
      </c>
      <c r="B167" s="154">
        <v>15605.669921999999</v>
      </c>
      <c r="C167" s="146">
        <f t="shared" si="12"/>
        <v>1.9327553586018675E-2</v>
      </c>
      <c r="D167" s="145"/>
      <c r="E167" s="154">
        <v>59.404896000000001</v>
      </c>
      <c r="F167" s="146">
        <f t="shared" si="12"/>
        <v>2.5351663614195497E-2</v>
      </c>
      <c r="G167" s="145"/>
      <c r="H167" s="154">
        <v>36.583508000000002</v>
      </c>
      <c r="I167" s="146">
        <f t="shared" si="9"/>
        <v>2.2180788783577654E-2</v>
      </c>
      <c r="J167" s="145"/>
      <c r="K167" s="154">
        <v>175.13473500000001</v>
      </c>
      <c r="L167" s="146">
        <f t="shared" si="10"/>
        <v>1.5331126078332646E-2</v>
      </c>
      <c r="M167" s="145"/>
      <c r="N167" s="154">
        <v>51.685001</v>
      </c>
      <c r="O167" s="146">
        <f t="shared" si="11"/>
        <v>3.6810492951273588E-2</v>
      </c>
    </row>
    <row r="168" spans="1:15">
      <c r="A168" s="151">
        <v>44893</v>
      </c>
      <c r="B168" s="154">
        <v>15767.019531</v>
      </c>
      <c r="C168" s="146">
        <f t="shared" si="12"/>
        <v>1.033916581642802E-2</v>
      </c>
      <c r="D168" s="145"/>
      <c r="E168" s="154">
        <v>60.977913000000001</v>
      </c>
      <c r="F168" s="146">
        <f t="shared" si="12"/>
        <v>2.6479585117024751E-2</v>
      </c>
      <c r="G168" s="145"/>
      <c r="H168" s="154">
        <v>37.052162000000003</v>
      </c>
      <c r="I168" s="146">
        <f t="shared" si="9"/>
        <v>1.2810526535618205E-2</v>
      </c>
      <c r="J168" s="145"/>
      <c r="K168" s="154">
        <v>176.63774100000001</v>
      </c>
      <c r="L168" s="146">
        <f t="shared" si="10"/>
        <v>8.58199831118589E-3</v>
      </c>
      <c r="M168" s="145"/>
      <c r="N168" s="154">
        <v>52.02</v>
      </c>
      <c r="O168" s="146">
        <f t="shared" si="11"/>
        <v>6.4815515820537684E-3</v>
      </c>
    </row>
    <row r="169" spans="1:15">
      <c r="A169" s="151">
        <v>44900</v>
      </c>
      <c r="B169" s="154">
        <v>15291.049805000001</v>
      </c>
      <c r="C169" s="146">
        <f t="shared" si="12"/>
        <v>-3.0187679102203213E-2</v>
      </c>
      <c r="D169" s="145"/>
      <c r="E169" s="154">
        <v>60.255650000000003</v>
      </c>
      <c r="F169" s="146">
        <f t="shared" si="12"/>
        <v>-1.1844665789070175E-2</v>
      </c>
      <c r="G169" s="145"/>
      <c r="H169" s="154">
        <v>36.277450999999999</v>
      </c>
      <c r="I169" s="146">
        <f t="shared" si="9"/>
        <v>-2.0908658447515216E-2</v>
      </c>
      <c r="J169" s="145"/>
      <c r="K169" s="154">
        <v>175.26045199999999</v>
      </c>
      <c r="L169" s="146">
        <f t="shared" si="10"/>
        <v>-7.7972521172585685E-3</v>
      </c>
      <c r="M169" s="145"/>
      <c r="N169" s="154">
        <v>50.02</v>
      </c>
      <c r="O169" s="146">
        <f t="shared" si="11"/>
        <v>-3.8446751249519462E-2</v>
      </c>
    </row>
    <row r="170" spans="1:15">
      <c r="A170" s="151">
        <v>44907</v>
      </c>
      <c r="B170" s="154">
        <v>15018.169921999999</v>
      </c>
      <c r="C170" s="146">
        <f t="shared" si="12"/>
        <v>-1.7845725864470863E-2</v>
      </c>
      <c r="D170" s="145"/>
      <c r="E170" s="154">
        <v>59.883468999999998</v>
      </c>
      <c r="F170" s="146">
        <f t="shared" si="12"/>
        <v>-6.1766987826038511E-3</v>
      </c>
      <c r="G170" s="145"/>
      <c r="H170" s="154">
        <v>34.498486</v>
      </c>
      <c r="I170" s="146">
        <f t="shared" si="9"/>
        <v>-4.9037761776592248E-2</v>
      </c>
      <c r="J170" s="145"/>
      <c r="K170" s="154">
        <v>172.61862199999999</v>
      </c>
      <c r="L170" s="146">
        <f t="shared" si="10"/>
        <v>-1.5073737228522011E-2</v>
      </c>
      <c r="M170" s="145"/>
      <c r="N170" s="154">
        <v>50.389999000000003</v>
      </c>
      <c r="O170" s="146">
        <f t="shared" si="11"/>
        <v>7.3970211915233008E-3</v>
      </c>
    </row>
    <row r="171" spans="1:15">
      <c r="A171" s="151">
        <v>44914</v>
      </c>
      <c r="B171" s="154">
        <v>15188.450194999999</v>
      </c>
      <c r="C171" s="146">
        <f t="shared" si="12"/>
        <v>1.1338283817827755E-2</v>
      </c>
      <c r="D171" s="145"/>
      <c r="E171" s="154">
        <v>60.904586999999999</v>
      </c>
      <c r="F171" s="146">
        <f t="shared" si="12"/>
        <v>1.7051750959851786E-2</v>
      </c>
      <c r="G171" s="145"/>
      <c r="H171" s="154">
        <v>34.785415999999998</v>
      </c>
      <c r="I171" s="146">
        <f t="shared" si="9"/>
        <v>8.3171765856622226E-3</v>
      </c>
      <c r="J171" s="145"/>
      <c r="K171" s="154">
        <v>174.45642100000001</v>
      </c>
      <c r="L171" s="146">
        <f t="shared" si="10"/>
        <v>1.0646585974947831E-2</v>
      </c>
      <c r="M171" s="145"/>
      <c r="N171" s="154">
        <v>50.630001</v>
      </c>
      <c r="O171" s="146">
        <f t="shared" si="11"/>
        <v>4.7628895567153329E-3</v>
      </c>
    </row>
    <row r="172" spans="1:15">
      <c r="A172" s="151">
        <v>44921</v>
      </c>
      <c r="B172" s="154">
        <v>15184.309569999999</v>
      </c>
      <c r="C172" s="146">
        <f t="shared" si="12"/>
        <v>-2.7261668878919565E-4</v>
      </c>
      <c r="D172" s="145"/>
      <c r="E172" s="154">
        <v>60.704177999999999</v>
      </c>
      <c r="F172" s="146">
        <f t="shared" si="12"/>
        <v>-3.2905403331936478E-3</v>
      </c>
      <c r="G172" s="145"/>
      <c r="H172" s="154">
        <v>34.106349999999999</v>
      </c>
      <c r="I172" s="146">
        <f t="shared" si="9"/>
        <v>-1.952157191393078E-2</v>
      </c>
      <c r="J172" s="145"/>
      <c r="K172" s="154">
        <v>172.92491100000001</v>
      </c>
      <c r="L172" s="146">
        <f t="shared" si="10"/>
        <v>-8.7787539789091484E-3</v>
      </c>
      <c r="M172" s="145"/>
      <c r="N172" s="154">
        <v>50.764999000000003</v>
      </c>
      <c r="O172" s="146">
        <f t="shared" si="11"/>
        <v>2.6663637632557968E-3</v>
      </c>
    </row>
    <row r="173" spans="1:15">
      <c r="A173" s="151">
        <v>44928</v>
      </c>
      <c r="B173" s="154">
        <v>15539.740234000001</v>
      </c>
      <c r="C173" s="146">
        <f t="shared" si="12"/>
        <v>2.3407759329553857E-2</v>
      </c>
      <c r="D173" s="145"/>
      <c r="E173" s="154">
        <v>60.503779999999999</v>
      </c>
      <c r="F173" s="146">
        <f t="shared" si="12"/>
        <v>-3.3012225287030184E-3</v>
      </c>
      <c r="G173" s="145"/>
      <c r="H173" s="154">
        <v>34.680205999999998</v>
      </c>
      <c r="I173" s="146">
        <f t="shared" si="9"/>
        <v>1.6825488508737996E-2</v>
      </c>
      <c r="J173" s="145"/>
      <c r="K173" s="154">
        <v>173.346069</v>
      </c>
      <c r="L173" s="146">
        <f t="shared" si="10"/>
        <v>2.4354964103465715E-3</v>
      </c>
      <c r="M173" s="145"/>
      <c r="N173" s="154">
        <v>51.215000000000003</v>
      </c>
      <c r="O173" s="146">
        <f t="shared" si="11"/>
        <v>8.8643949347857465E-3</v>
      </c>
    </row>
    <row r="174" spans="1:15">
      <c r="A174" s="151">
        <v>44935</v>
      </c>
      <c r="B174" s="154">
        <v>15918.370117</v>
      </c>
      <c r="C174" s="146">
        <f t="shared" si="12"/>
        <v>2.436526462466726E-2</v>
      </c>
      <c r="D174" s="145"/>
      <c r="E174" s="154">
        <v>58.623764000000001</v>
      </c>
      <c r="F174" s="146">
        <f t="shared" si="12"/>
        <v>-3.1072703226145526E-2</v>
      </c>
      <c r="G174" s="145"/>
      <c r="H174" s="154">
        <v>34.326602999999999</v>
      </c>
      <c r="I174" s="146">
        <f t="shared" si="9"/>
        <v>-1.0196104371467674E-2</v>
      </c>
      <c r="J174" s="145"/>
      <c r="K174" s="154">
        <v>167.73696899999999</v>
      </c>
      <c r="L174" s="146">
        <f t="shared" si="10"/>
        <v>-3.2357814817248642E-2</v>
      </c>
      <c r="M174" s="145"/>
      <c r="N174" s="154">
        <v>51.040000999999997</v>
      </c>
      <c r="O174" s="146">
        <f t="shared" si="11"/>
        <v>-3.4169481597189355E-3</v>
      </c>
    </row>
    <row r="175" spans="1:15">
      <c r="A175" s="151">
        <v>44942</v>
      </c>
      <c r="B175" s="154">
        <v>15777.549805000001</v>
      </c>
      <c r="C175" s="146">
        <f t="shared" si="12"/>
        <v>-8.8464026759631498E-3</v>
      </c>
      <c r="D175" s="145"/>
      <c r="E175" s="154">
        <v>57.335442</v>
      </c>
      <c r="F175" s="146">
        <f t="shared" si="12"/>
        <v>-2.197610511668957E-2</v>
      </c>
      <c r="G175" s="145"/>
      <c r="H175" s="154">
        <v>33.384036999999999</v>
      </c>
      <c r="I175" s="146">
        <f t="shared" si="9"/>
        <v>-2.7458761357772588E-2</v>
      </c>
      <c r="J175" s="145"/>
      <c r="K175" s="154">
        <v>162.60649100000001</v>
      </c>
      <c r="L175" s="146">
        <f t="shared" si="10"/>
        <v>-3.0586447523085925E-2</v>
      </c>
      <c r="M175" s="145"/>
      <c r="N175" s="154">
        <v>50</v>
      </c>
      <c r="O175" s="146">
        <f t="shared" si="11"/>
        <v>-2.0376194741845599E-2</v>
      </c>
    </row>
    <row r="176" spans="1:15">
      <c r="A176" s="151">
        <v>44949</v>
      </c>
      <c r="B176" s="154">
        <v>15962.580078000001</v>
      </c>
      <c r="C176" s="146">
        <f t="shared" si="12"/>
        <v>1.1727440273480383E-2</v>
      </c>
      <c r="D176" s="145"/>
      <c r="E176" s="154">
        <v>57.726711000000002</v>
      </c>
      <c r="F176" s="146">
        <f t="shared" si="12"/>
        <v>6.8242083142919796E-3</v>
      </c>
      <c r="G176" s="145"/>
      <c r="H176" s="154">
        <v>33.374420000000001</v>
      </c>
      <c r="I176" s="146">
        <f t="shared" si="9"/>
        <v>-2.8807181108736479E-4</v>
      </c>
      <c r="J176" s="145"/>
      <c r="K176" s="154">
        <v>162.35758999999999</v>
      </c>
      <c r="L176" s="146">
        <f t="shared" si="10"/>
        <v>-1.5306953521309064E-3</v>
      </c>
      <c r="M176" s="145"/>
      <c r="N176" s="154">
        <v>51.395000000000003</v>
      </c>
      <c r="O176" s="146">
        <f t="shared" si="11"/>
        <v>2.7900000000000036E-2</v>
      </c>
    </row>
    <row r="177" spans="1:15">
      <c r="A177" s="151">
        <v>44956</v>
      </c>
      <c r="B177" s="154">
        <v>15999.400390999999</v>
      </c>
      <c r="C177" s="146">
        <f t="shared" si="12"/>
        <v>2.306664262298419E-3</v>
      </c>
      <c r="D177" s="145"/>
      <c r="E177" s="154">
        <v>57.096862999999999</v>
      </c>
      <c r="F177" s="146">
        <f t="shared" si="12"/>
        <v>-1.0910858926295064E-2</v>
      </c>
      <c r="G177" s="145"/>
      <c r="H177" s="154">
        <v>33.807231999999999</v>
      </c>
      <c r="I177" s="146">
        <f t="shared" si="9"/>
        <v>1.2968375180752112E-2</v>
      </c>
      <c r="J177" s="145"/>
      <c r="K177" s="154">
        <v>161.87901299999999</v>
      </c>
      <c r="L177" s="146">
        <f t="shared" si="10"/>
        <v>-2.9476724802333099E-3</v>
      </c>
      <c r="M177" s="145"/>
      <c r="N177" s="154">
        <v>50.900002000000001</v>
      </c>
      <c r="O177" s="146">
        <f t="shared" si="11"/>
        <v>-9.6312481758926705E-3</v>
      </c>
    </row>
    <row r="178" spans="1:15">
      <c r="A178" s="151">
        <v>44963</v>
      </c>
      <c r="B178" s="154">
        <v>15910.690430000001</v>
      </c>
      <c r="C178" s="146">
        <f t="shared" si="12"/>
        <v>-5.5445803487672585E-3</v>
      </c>
      <c r="D178" s="145"/>
      <c r="E178" s="154">
        <v>56.896450000000002</v>
      </c>
      <c r="F178" s="146">
        <f t="shared" si="12"/>
        <v>-3.5100527326693554E-3</v>
      </c>
      <c r="G178" s="145"/>
      <c r="H178" s="154">
        <v>33.932262000000001</v>
      </c>
      <c r="I178" s="146">
        <f t="shared" si="9"/>
        <v>3.6983211166179419E-3</v>
      </c>
      <c r="J178" s="145"/>
      <c r="K178" s="154">
        <v>168.655869</v>
      </c>
      <c r="L178" s="146">
        <f t="shared" si="10"/>
        <v>4.1863709658274351E-2</v>
      </c>
      <c r="M178" s="145"/>
      <c r="N178" s="154">
        <v>51.400002000000001</v>
      </c>
      <c r="O178" s="146">
        <f t="shared" si="11"/>
        <v>9.8231823252188377E-3</v>
      </c>
    </row>
    <row r="179" spans="1:15">
      <c r="A179" s="151">
        <v>44970</v>
      </c>
      <c r="B179" s="154">
        <v>15840.160156</v>
      </c>
      <c r="C179" s="146">
        <f t="shared" si="12"/>
        <v>-4.4328858204050192E-3</v>
      </c>
      <c r="D179" s="145"/>
      <c r="E179" s="154">
        <v>57.373610999999997</v>
      </c>
      <c r="F179" s="146">
        <f t="shared" si="12"/>
        <v>8.3864810546174784E-3</v>
      </c>
      <c r="G179" s="145"/>
      <c r="H179" s="154">
        <v>34.307364999999997</v>
      </c>
      <c r="I179" s="146">
        <f t="shared" si="9"/>
        <v>1.1054464921908203E-2</v>
      </c>
      <c r="J179" s="145"/>
      <c r="K179" s="154">
        <v>168.73245199999999</v>
      </c>
      <c r="L179" s="146">
        <f t="shared" si="10"/>
        <v>4.5407847621370401E-4</v>
      </c>
      <c r="M179" s="145"/>
      <c r="N179" s="154">
        <v>52.09</v>
      </c>
      <c r="O179" s="146">
        <f t="shared" si="11"/>
        <v>1.3424085080774972E-2</v>
      </c>
    </row>
    <row r="180" spans="1:15">
      <c r="A180" s="151">
        <v>44977</v>
      </c>
      <c r="B180" s="154">
        <v>15464.459961</v>
      </c>
      <c r="C180" s="146">
        <f t="shared" si="12"/>
        <v>-2.3718206842605061E-2</v>
      </c>
      <c r="D180" s="145"/>
      <c r="E180" s="154">
        <v>57.106406999999997</v>
      </c>
      <c r="F180" s="146">
        <f t="shared" si="12"/>
        <v>-4.6572630751793298E-3</v>
      </c>
      <c r="G180" s="145"/>
      <c r="H180" s="154">
        <v>34.422783000000003</v>
      </c>
      <c r="I180" s="146">
        <f t="shared" si="9"/>
        <v>3.3642338897204027E-3</v>
      </c>
      <c r="J180" s="145"/>
      <c r="K180" s="154">
        <v>168.426132</v>
      </c>
      <c r="L180" s="146">
        <f t="shared" si="10"/>
        <v>-1.8154184116283556E-3</v>
      </c>
      <c r="M180" s="145"/>
      <c r="N180" s="154">
        <v>50.615001999999997</v>
      </c>
      <c r="O180" s="146">
        <f t="shared" si="11"/>
        <v>-2.8316337108850176E-2</v>
      </c>
    </row>
    <row r="181" spans="1:15">
      <c r="A181" s="151">
        <v>44984</v>
      </c>
      <c r="B181" s="154">
        <v>15721.059569999999</v>
      </c>
      <c r="C181" s="146">
        <f t="shared" si="12"/>
        <v>1.659285934634136E-2</v>
      </c>
      <c r="D181" s="145"/>
      <c r="E181" s="154">
        <v>56.724674</v>
      </c>
      <c r="F181" s="146">
        <f t="shared" si="12"/>
        <v>-6.6845914504829462E-3</v>
      </c>
      <c r="G181" s="145"/>
      <c r="H181" s="154">
        <v>33.230145</v>
      </c>
      <c r="I181" s="146">
        <f t="shared" si="9"/>
        <v>-3.4646762872136194E-2</v>
      </c>
      <c r="J181" s="145"/>
      <c r="K181" s="154">
        <v>165.73644999999999</v>
      </c>
      <c r="L181" s="146">
        <f t="shared" si="10"/>
        <v>-1.5969505254683436E-2</v>
      </c>
      <c r="M181" s="145"/>
      <c r="N181" s="154">
        <v>51.005001</v>
      </c>
      <c r="O181" s="146">
        <f t="shared" si="11"/>
        <v>7.7052056621473852E-3</v>
      </c>
    </row>
    <row r="182" spans="1:15">
      <c r="A182" s="151">
        <v>44991</v>
      </c>
      <c r="B182" s="154">
        <v>14894.179688</v>
      </c>
      <c r="C182" s="146">
        <f t="shared" si="12"/>
        <v>-5.259695622411531E-2</v>
      </c>
      <c r="D182" s="145"/>
      <c r="E182" s="154">
        <v>56.505180000000003</v>
      </c>
      <c r="F182" s="146">
        <f t="shared" si="12"/>
        <v>-3.8694625199608979E-3</v>
      </c>
      <c r="G182" s="145"/>
      <c r="H182" s="154">
        <v>33.008934000000004</v>
      </c>
      <c r="I182" s="146">
        <f t="shared" si="9"/>
        <v>-6.6569375487226523E-3</v>
      </c>
      <c r="J182" s="145"/>
      <c r="K182" s="154">
        <v>165.77714499999999</v>
      </c>
      <c r="L182" s="146">
        <f t="shared" si="10"/>
        <v>2.4554043482893917E-4</v>
      </c>
      <c r="M182" s="145"/>
      <c r="N182" s="154">
        <v>50.084999000000003</v>
      </c>
      <c r="O182" s="146">
        <f t="shared" si="11"/>
        <v>-1.8037486167287731E-2</v>
      </c>
    </row>
    <row r="183" spans="1:15">
      <c r="A183" s="151">
        <v>44998</v>
      </c>
      <c r="B183" s="154">
        <v>14599.049805000001</v>
      </c>
      <c r="C183" s="146">
        <f t="shared" si="12"/>
        <v>-1.9815114976609371E-2</v>
      </c>
      <c r="D183" s="145"/>
      <c r="E183" s="154">
        <v>57.278179000000002</v>
      </c>
      <c r="F183" s="146">
        <f t="shared" si="12"/>
        <v>1.3680144015115081E-2</v>
      </c>
      <c r="G183" s="145"/>
      <c r="H183" s="154">
        <v>33.528305000000003</v>
      </c>
      <c r="I183" s="146">
        <f t="shared" si="9"/>
        <v>1.5734255459446178E-2</v>
      </c>
      <c r="J183" s="145"/>
      <c r="K183" s="154">
        <v>168.76445000000001</v>
      </c>
      <c r="L183" s="146">
        <f t="shared" si="10"/>
        <v>1.8020005109872228E-2</v>
      </c>
      <c r="M183" s="145"/>
      <c r="N183" s="154">
        <v>51.494999</v>
      </c>
      <c r="O183" s="146">
        <f t="shared" si="11"/>
        <v>2.8152141921775842E-2</v>
      </c>
    </row>
    <row r="184" spans="1:15">
      <c r="A184" s="151">
        <v>45005</v>
      </c>
      <c r="B184" s="154">
        <v>14758.570313</v>
      </c>
      <c r="C184" s="146">
        <f t="shared" si="12"/>
        <v>1.0926773326396022E-2</v>
      </c>
      <c r="D184" s="145"/>
      <c r="E184" s="154">
        <v>58.563774000000002</v>
      </c>
      <c r="F184" s="146">
        <f t="shared" si="12"/>
        <v>2.2444760333599323E-2</v>
      </c>
      <c r="G184" s="145"/>
      <c r="H184" s="154">
        <v>33.537922000000002</v>
      </c>
      <c r="I184" s="146">
        <f t="shared" si="9"/>
        <v>2.8683227499870512E-4</v>
      </c>
      <c r="J184" s="145"/>
      <c r="K184" s="154">
        <v>172.58050499999999</v>
      </c>
      <c r="L184" s="146">
        <f t="shared" si="10"/>
        <v>2.2611723025791175E-2</v>
      </c>
      <c r="M184" s="145"/>
      <c r="N184" s="154">
        <v>52.040000999999997</v>
      </c>
      <c r="O184" s="146">
        <f t="shared" si="11"/>
        <v>1.0583590845394397E-2</v>
      </c>
    </row>
    <row r="185" spans="1:15">
      <c r="A185" s="151">
        <v>45012</v>
      </c>
      <c r="B185" s="154">
        <v>15374.910156</v>
      </c>
      <c r="C185" s="146">
        <f t="shared" si="12"/>
        <v>4.1761487049805979E-2</v>
      </c>
      <c r="D185" s="145"/>
      <c r="E185" s="154">
        <v>59.650424999999998</v>
      </c>
      <c r="F185" s="146">
        <f t="shared" si="12"/>
        <v>1.8555002961387013E-2</v>
      </c>
      <c r="G185" s="145"/>
      <c r="H185" s="154">
        <v>33.932262000000001</v>
      </c>
      <c r="I185" s="146">
        <f t="shared" si="9"/>
        <v>1.1758033190010897E-2</v>
      </c>
      <c r="J185" s="145"/>
      <c r="K185" s="154">
        <v>175.67385899999999</v>
      </c>
      <c r="L185" s="146">
        <f t="shared" si="10"/>
        <v>1.7924121846786933E-2</v>
      </c>
      <c r="M185" s="145"/>
      <c r="N185" s="154">
        <v>54.009998000000003</v>
      </c>
      <c r="O185" s="146">
        <f t="shared" si="11"/>
        <v>3.7855437397090075E-2</v>
      </c>
    </row>
    <row r="186" spans="1:15">
      <c r="A186" s="151">
        <v>45019</v>
      </c>
      <c r="B186" s="154">
        <v>15379.129883</v>
      </c>
      <c r="C186" s="146">
        <f t="shared" si="12"/>
        <v>2.744553924012294E-4</v>
      </c>
      <c r="D186" s="145"/>
      <c r="E186" s="154">
        <v>60.429352000000002</v>
      </c>
      <c r="F186" s="146">
        <f t="shared" si="12"/>
        <v>1.3058196986861503E-2</v>
      </c>
      <c r="G186" s="145"/>
      <c r="H186" s="154">
        <v>34.473880999999999</v>
      </c>
      <c r="I186" s="146">
        <f t="shared" si="9"/>
        <v>1.5961771130966751E-2</v>
      </c>
      <c r="J186" s="145"/>
      <c r="K186" s="154">
        <v>177.65898100000001</v>
      </c>
      <c r="L186" s="146">
        <f t="shared" si="10"/>
        <v>1.1300042085373718E-2</v>
      </c>
      <c r="M186" s="145"/>
      <c r="N186" s="154">
        <v>52.560001</v>
      </c>
      <c r="O186" s="146">
        <f t="shared" si="11"/>
        <v>-2.6846825656242412E-2</v>
      </c>
    </row>
    <row r="187" spans="1:15">
      <c r="A187" s="151">
        <v>45026</v>
      </c>
      <c r="B187" s="154">
        <v>15601.780273</v>
      </c>
      <c r="C187" s="146">
        <f t="shared" si="12"/>
        <v>1.4477437390402415E-2</v>
      </c>
      <c r="D187" s="145"/>
      <c r="E187" s="154">
        <v>60.63129</v>
      </c>
      <c r="F187" s="146">
        <f t="shared" si="12"/>
        <v>3.3417204275167922E-3</v>
      </c>
      <c r="G187" s="145"/>
      <c r="H187" s="154">
        <v>33.951546</v>
      </c>
      <c r="I187" s="146">
        <f t="shared" si="9"/>
        <v>-1.5151615798638884E-2</v>
      </c>
      <c r="J187" s="145"/>
      <c r="K187" s="154">
        <v>176.83985899999999</v>
      </c>
      <c r="L187" s="146">
        <f t="shared" si="10"/>
        <v>-4.6106422281011472E-3</v>
      </c>
      <c r="M187" s="145"/>
      <c r="N187" s="154">
        <v>52.560001</v>
      </c>
      <c r="O187" s="146">
        <f t="shared" si="11"/>
        <v>0</v>
      </c>
    </row>
    <row r="188" spans="1:15">
      <c r="A188" s="151">
        <v>45033</v>
      </c>
      <c r="B188" s="154">
        <v>15578.929688</v>
      </c>
      <c r="C188" s="146">
        <f t="shared" si="12"/>
        <v>-1.4646139479059794E-3</v>
      </c>
      <c r="D188" s="145"/>
      <c r="E188" s="154">
        <v>61.592934</v>
      </c>
      <c r="F188" s="146">
        <f t="shared" si="12"/>
        <v>1.5860523501973978E-2</v>
      </c>
      <c r="G188" s="145"/>
      <c r="H188" s="154">
        <v>34.154682000000001</v>
      </c>
      <c r="I188" s="146">
        <f t="shared" si="9"/>
        <v>5.9831148778910492E-3</v>
      </c>
      <c r="J188" s="145"/>
      <c r="K188" s="154">
        <v>178.670807</v>
      </c>
      <c r="L188" s="146">
        <f t="shared" si="10"/>
        <v>1.035370651364298E-2</v>
      </c>
      <c r="M188" s="145"/>
      <c r="N188" s="154">
        <v>53.07</v>
      </c>
      <c r="O188" s="146">
        <f t="shared" si="11"/>
        <v>9.7031771365454489E-3</v>
      </c>
    </row>
    <row r="189" spans="1:15">
      <c r="A189" s="151">
        <v>45040</v>
      </c>
      <c r="B189" s="154">
        <v>15545.879883</v>
      </c>
      <c r="C189" s="146">
        <f t="shared" si="12"/>
        <v>-2.121442593418843E-3</v>
      </c>
      <c r="D189" s="145"/>
      <c r="E189" s="154">
        <v>61.689095000000002</v>
      </c>
      <c r="F189" s="146">
        <f t="shared" si="12"/>
        <v>1.5612342805426671E-3</v>
      </c>
      <c r="G189" s="145"/>
      <c r="H189" s="154">
        <v>31.630077</v>
      </c>
      <c r="I189" s="146">
        <f t="shared" ref="I189:I252" si="13">H189/H188-1</f>
        <v>-7.3916805900871796E-2</v>
      </c>
      <c r="J189" s="145"/>
      <c r="K189" s="154">
        <v>183.95162999999999</v>
      </c>
      <c r="L189" s="146">
        <f t="shared" ref="L189:L252" si="14">K189/K188-1</f>
        <v>2.9556160229354145E-2</v>
      </c>
      <c r="M189" s="145"/>
      <c r="N189" s="154">
        <v>56</v>
      </c>
      <c r="O189" s="146">
        <f t="shared" ref="O189:O252" si="15">N189/N188-1</f>
        <v>5.5210099868098661E-2</v>
      </c>
    </row>
    <row r="190" spans="1:15">
      <c r="A190" s="151">
        <v>45047</v>
      </c>
      <c r="B190" s="154">
        <v>15380.870117</v>
      </c>
      <c r="C190" s="146">
        <f t="shared" ref="C190:F233" si="16">B190/B189-1</f>
        <v>-1.0614372891202151E-2</v>
      </c>
      <c r="D190" s="145"/>
      <c r="E190" s="154">
        <v>61.564082999999997</v>
      </c>
      <c r="F190" s="146">
        <f t="shared" si="16"/>
        <v>-2.0264845837015821E-3</v>
      </c>
      <c r="G190" s="145"/>
      <c r="H190" s="154">
        <v>32.142735000000002</v>
      </c>
      <c r="I190" s="146">
        <f t="shared" si="13"/>
        <v>1.6207927663280719E-2</v>
      </c>
      <c r="J190" s="145"/>
      <c r="K190" s="154">
        <v>187.208755</v>
      </c>
      <c r="L190" s="146">
        <f t="shared" si="14"/>
        <v>1.770642097599251E-2</v>
      </c>
      <c r="M190" s="145"/>
      <c r="N190" s="154">
        <v>59.709999000000003</v>
      </c>
      <c r="O190" s="146">
        <f t="shared" si="15"/>
        <v>6.6249982142857267E-2</v>
      </c>
    </row>
    <row r="191" spans="1:15">
      <c r="A191" s="151">
        <v>45054</v>
      </c>
      <c r="B191" s="154">
        <v>15246.360352</v>
      </c>
      <c r="C191" s="146">
        <f t="shared" si="16"/>
        <v>-8.7452636929383765E-3</v>
      </c>
      <c r="D191" s="145"/>
      <c r="E191" s="154">
        <v>61.650635000000001</v>
      </c>
      <c r="F191" s="146">
        <f t="shared" si="16"/>
        <v>1.4058846616784582E-3</v>
      </c>
      <c r="G191" s="145"/>
      <c r="H191" s="154">
        <v>31.601057000000001</v>
      </c>
      <c r="I191" s="146">
        <f t="shared" si="13"/>
        <v>-1.6852268483064758E-2</v>
      </c>
      <c r="J191" s="145"/>
      <c r="K191" s="154">
        <v>188.99153100000001</v>
      </c>
      <c r="L191" s="146">
        <f t="shared" si="14"/>
        <v>9.5229306984068174E-3</v>
      </c>
      <c r="M191" s="145"/>
      <c r="N191" s="154">
        <v>59.540000999999997</v>
      </c>
      <c r="O191" s="146">
        <f t="shared" si="15"/>
        <v>-2.8470608415184229E-3</v>
      </c>
    </row>
    <row r="192" spans="1:15">
      <c r="A192" s="151">
        <v>45061</v>
      </c>
      <c r="B192" s="154">
        <v>15324.320313</v>
      </c>
      <c r="C192" s="146">
        <f t="shared" si="16"/>
        <v>5.113348969859155E-3</v>
      </c>
      <c r="D192" s="145"/>
      <c r="E192" s="154">
        <v>60.419739</v>
      </c>
      <c r="F192" s="146">
        <f t="shared" si="16"/>
        <v>-1.9965666209277533E-2</v>
      </c>
      <c r="G192" s="145"/>
      <c r="H192" s="154">
        <v>30.788546</v>
      </c>
      <c r="I192" s="146">
        <f t="shared" si="13"/>
        <v>-2.5711513383872009E-2</v>
      </c>
      <c r="J192" s="145"/>
      <c r="K192" s="154">
        <v>184.867096</v>
      </c>
      <c r="L192" s="146">
        <f t="shared" si="14"/>
        <v>-2.1823385302910725E-2</v>
      </c>
      <c r="M192" s="145"/>
      <c r="N192" s="154">
        <v>59.68</v>
      </c>
      <c r="O192" s="146">
        <f t="shared" si="15"/>
        <v>2.3513435950395234E-3</v>
      </c>
    </row>
    <row r="193" spans="1:15">
      <c r="A193" s="151">
        <v>45068</v>
      </c>
      <c r="B193" s="154">
        <v>15078.690430000001</v>
      </c>
      <c r="C193" s="146">
        <f t="shared" si="16"/>
        <v>-1.6028761992897378E-2</v>
      </c>
      <c r="D193" s="145"/>
      <c r="E193" s="154">
        <v>57.948326000000002</v>
      </c>
      <c r="F193" s="146">
        <f t="shared" si="16"/>
        <v>-4.0904066136399519E-2</v>
      </c>
      <c r="G193" s="145"/>
      <c r="H193" s="154">
        <v>30.382286000000001</v>
      </c>
      <c r="I193" s="146">
        <f t="shared" si="13"/>
        <v>-1.3195166800017089E-2</v>
      </c>
      <c r="J193" s="145"/>
      <c r="K193" s="154">
        <v>176.90734900000001</v>
      </c>
      <c r="L193" s="146">
        <f t="shared" si="14"/>
        <v>-4.3056591314659887E-2</v>
      </c>
      <c r="M193" s="145"/>
      <c r="N193" s="154">
        <v>57.610000999999997</v>
      </c>
      <c r="O193" s="146">
        <f t="shared" si="15"/>
        <v>-3.4684969839142155E-2</v>
      </c>
    </row>
    <row r="194" spans="1:15">
      <c r="A194" s="151">
        <v>45075</v>
      </c>
      <c r="B194" s="154">
        <v>15345.190430000001</v>
      </c>
      <c r="C194" s="146">
        <f t="shared" si="16"/>
        <v>1.7673948625523961E-2</v>
      </c>
      <c r="D194" s="145"/>
      <c r="E194" s="154">
        <v>58.813797000000001</v>
      </c>
      <c r="F194" s="146">
        <f t="shared" si="16"/>
        <v>1.493522004414749E-2</v>
      </c>
      <c r="G194" s="145"/>
      <c r="H194" s="154">
        <v>30.42098</v>
      </c>
      <c r="I194" s="146">
        <f t="shared" si="13"/>
        <v>1.2735710538700484E-3</v>
      </c>
      <c r="J194" s="145"/>
      <c r="K194" s="154">
        <v>177.36987300000001</v>
      </c>
      <c r="L194" s="146">
        <f t="shared" si="14"/>
        <v>2.6144985079166183E-3</v>
      </c>
      <c r="M194" s="145"/>
      <c r="N194" s="154">
        <v>59.48</v>
      </c>
      <c r="O194" s="146">
        <f t="shared" si="15"/>
        <v>3.2459624501655515E-2</v>
      </c>
    </row>
    <row r="195" spans="1:15">
      <c r="A195" s="151">
        <v>45082</v>
      </c>
      <c r="B195" s="154">
        <v>15499.910156</v>
      </c>
      <c r="C195" s="146">
        <f t="shared" si="16"/>
        <v>1.0082620134678866E-2</v>
      </c>
      <c r="D195" s="145"/>
      <c r="E195" s="154">
        <v>58.150269000000002</v>
      </c>
      <c r="F195" s="146">
        <f t="shared" si="16"/>
        <v>-1.1281842592138713E-2</v>
      </c>
      <c r="G195" s="145"/>
      <c r="H195" s="154">
        <v>30.285558999999999</v>
      </c>
      <c r="I195" s="146">
        <f t="shared" si="13"/>
        <v>-4.4515659916282146E-3</v>
      </c>
      <c r="J195" s="145"/>
      <c r="K195" s="154">
        <v>176.94958500000001</v>
      </c>
      <c r="L195" s="146">
        <f t="shared" si="14"/>
        <v>-2.3695568638085751E-3</v>
      </c>
      <c r="M195" s="145"/>
      <c r="N195" s="154">
        <v>57.25</v>
      </c>
      <c r="O195" s="146">
        <f t="shared" si="15"/>
        <v>-3.7491593813046342E-2</v>
      </c>
    </row>
    <row r="196" spans="1:15">
      <c r="A196" s="151">
        <v>45089</v>
      </c>
      <c r="B196" s="154">
        <v>15795.120117</v>
      </c>
      <c r="C196" s="146">
        <f t="shared" si="16"/>
        <v>1.9045914332975977E-2</v>
      </c>
      <c r="D196" s="145"/>
      <c r="E196" s="154">
        <v>59.304229999999997</v>
      </c>
      <c r="F196" s="146">
        <f t="shared" si="16"/>
        <v>1.9844465379859066E-2</v>
      </c>
      <c r="G196" s="145"/>
      <c r="H196" s="154">
        <v>31.117415999999999</v>
      </c>
      <c r="I196" s="146">
        <f t="shared" si="13"/>
        <v>2.7467117248851203E-2</v>
      </c>
      <c r="J196" s="145"/>
      <c r="K196" s="154">
        <v>180.53027299999999</v>
      </c>
      <c r="L196" s="146">
        <f t="shared" si="14"/>
        <v>2.0235639433683783E-2</v>
      </c>
      <c r="M196" s="145"/>
      <c r="N196" s="154">
        <v>58.450001</v>
      </c>
      <c r="O196" s="146">
        <f t="shared" si="15"/>
        <v>2.0960716157205184E-2</v>
      </c>
    </row>
    <row r="197" spans="1:15">
      <c r="A197" s="151">
        <v>45096</v>
      </c>
      <c r="B197" s="154">
        <v>15469.349609000001</v>
      </c>
      <c r="C197" s="146">
        <f t="shared" si="16"/>
        <v>-2.0624756607541039E-2</v>
      </c>
      <c r="D197" s="145"/>
      <c r="E197" s="154">
        <v>59.30048</v>
      </c>
      <c r="F197" s="146">
        <f t="shared" si="16"/>
        <v>-6.3233263461914824E-5</v>
      </c>
      <c r="G197" s="145"/>
      <c r="H197" s="154">
        <v>30.159813</v>
      </c>
      <c r="I197" s="146">
        <f t="shared" si="13"/>
        <v>-3.0773859886052191E-2</v>
      </c>
      <c r="J197" s="145"/>
      <c r="K197" s="154">
        <v>180.55940200000001</v>
      </c>
      <c r="L197" s="146">
        <f t="shared" si="14"/>
        <v>1.6135243976500568E-4</v>
      </c>
      <c r="M197" s="145"/>
      <c r="N197" s="154">
        <v>59.110000999999997</v>
      </c>
      <c r="O197" s="146">
        <f t="shared" si="15"/>
        <v>1.1291702116480673E-2</v>
      </c>
    </row>
    <row r="198" spans="1:15">
      <c r="A198" s="151">
        <v>45103</v>
      </c>
      <c r="B198" s="154">
        <v>15875.910156</v>
      </c>
      <c r="C198" s="146">
        <f t="shared" si="16"/>
        <v>2.6281683281853319E-2</v>
      </c>
      <c r="D198" s="145"/>
      <c r="E198" s="154">
        <v>58.350898999999998</v>
      </c>
      <c r="F198" s="146">
        <f t="shared" si="16"/>
        <v>-1.6013040703886428E-2</v>
      </c>
      <c r="G198" s="145"/>
      <c r="H198" s="154">
        <v>30.246866000000001</v>
      </c>
      <c r="I198" s="146">
        <f t="shared" si="13"/>
        <v>2.8863905754323849E-3</v>
      </c>
      <c r="J198" s="145"/>
      <c r="K198" s="154">
        <v>179.73457300000001</v>
      </c>
      <c r="L198" s="146">
        <f t="shared" si="14"/>
        <v>-4.5681863744763129E-3</v>
      </c>
      <c r="M198" s="145"/>
      <c r="N198" s="154">
        <v>57.439999</v>
      </c>
      <c r="O198" s="146">
        <f t="shared" si="15"/>
        <v>-2.8252444116859343E-2</v>
      </c>
    </row>
    <row r="199" spans="1:15">
      <c r="A199" s="151">
        <v>45110</v>
      </c>
      <c r="B199" s="154">
        <v>15671.629883</v>
      </c>
      <c r="C199" s="146">
        <f t="shared" si="16"/>
        <v>-1.2867310975729906E-2</v>
      </c>
      <c r="D199" s="145"/>
      <c r="E199" s="154">
        <v>57.905169999999998</v>
      </c>
      <c r="F199" s="146">
        <f t="shared" si="16"/>
        <v>-7.6387683418553953E-3</v>
      </c>
      <c r="G199" s="145"/>
      <c r="H199" s="154">
        <v>30.920971000000002</v>
      </c>
      <c r="I199" s="146">
        <f t="shared" si="13"/>
        <v>2.2286771793150528E-2</v>
      </c>
      <c r="J199" s="145"/>
      <c r="K199" s="154">
        <v>177.65795900000001</v>
      </c>
      <c r="L199" s="146">
        <f t="shared" si="14"/>
        <v>-1.1553781586584377E-2</v>
      </c>
      <c r="M199" s="145"/>
      <c r="N199" s="154">
        <v>55.869999</v>
      </c>
      <c r="O199" s="146">
        <f t="shared" si="15"/>
        <v>-2.7332869556630723E-2</v>
      </c>
    </row>
    <row r="200" spans="1:15">
      <c r="A200" s="151">
        <v>45117</v>
      </c>
      <c r="B200" s="154">
        <v>16040.230469</v>
      </c>
      <c r="C200" s="146">
        <f t="shared" si="16"/>
        <v>2.3520245740351831E-2</v>
      </c>
      <c r="D200" s="145"/>
      <c r="E200" s="154">
        <v>59.009791999999997</v>
      </c>
      <c r="F200" s="146">
        <f t="shared" si="16"/>
        <v>1.9076396805328466E-2</v>
      </c>
      <c r="G200" s="145"/>
      <c r="H200" s="154">
        <v>30.823612000000001</v>
      </c>
      <c r="I200" s="146">
        <f t="shared" si="13"/>
        <v>-3.148639801770825E-3</v>
      </c>
      <c r="J200" s="145"/>
      <c r="K200" s="154">
        <v>182.63601700000001</v>
      </c>
      <c r="L200" s="146">
        <f t="shared" si="14"/>
        <v>2.8020461498153404E-2</v>
      </c>
      <c r="M200" s="145"/>
      <c r="N200" s="154">
        <v>57.310001</v>
      </c>
      <c r="O200" s="146">
        <f t="shared" si="15"/>
        <v>2.5774154748060774E-2</v>
      </c>
    </row>
    <row r="201" spans="1:15">
      <c r="A201" s="151">
        <v>45124</v>
      </c>
      <c r="B201" s="154">
        <v>16289.120117</v>
      </c>
      <c r="C201" s="146">
        <f t="shared" si="16"/>
        <v>1.5516588024156786E-2</v>
      </c>
      <c r="D201" s="145"/>
      <c r="E201" s="154">
        <v>60.501987</v>
      </c>
      <c r="F201" s="146">
        <f t="shared" si="16"/>
        <v>2.5287243852681218E-2</v>
      </c>
      <c r="G201" s="145"/>
      <c r="H201" s="154">
        <v>31.719308999999999</v>
      </c>
      <c r="I201" s="146">
        <f t="shared" si="13"/>
        <v>2.9058794277581734E-2</v>
      </c>
      <c r="J201" s="145"/>
      <c r="K201" s="154">
        <v>184.52825899999999</v>
      </c>
      <c r="L201" s="146">
        <f t="shared" si="14"/>
        <v>1.0360727479070908E-2</v>
      </c>
      <c r="M201" s="145"/>
      <c r="N201" s="154">
        <v>58.099997999999999</v>
      </c>
      <c r="O201" s="146">
        <f t="shared" si="15"/>
        <v>1.3784627224138424E-2</v>
      </c>
    </row>
    <row r="202" spans="1:15">
      <c r="A202" s="151">
        <v>45131</v>
      </c>
      <c r="B202" s="154">
        <v>16363.259765999999</v>
      </c>
      <c r="C202" s="146">
        <f t="shared" si="16"/>
        <v>4.5514827361745613E-3</v>
      </c>
      <c r="D202" s="145"/>
      <c r="E202" s="154">
        <v>60.540748999999998</v>
      </c>
      <c r="F202" s="146">
        <f t="shared" si="16"/>
        <v>6.4067317326288453E-4</v>
      </c>
      <c r="G202" s="145"/>
      <c r="H202" s="154">
        <v>33.023902999999997</v>
      </c>
      <c r="I202" s="146">
        <f t="shared" si="13"/>
        <v>4.1129332294092436E-2</v>
      </c>
      <c r="J202" s="145"/>
      <c r="K202" s="154">
        <v>184.673813</v>
      </c>
      <c r="L202" s="146">
        <f t="shared" si="14"/>
        <v>7.8878975387719485E-4</v>
      </c>
      <c r="M202" s="145"/>
      <c r="N202" s="154">
        <v>58.150002000000001</v>
      </c>
      <c r="O202" s="146">
        <f t="shared" si="15"/>
        <v>8.6065407437718733E-4</v>
      </c>
    </row>
    <row r="203" spans="1:15">
      <c r="A203" s="151">
        <v>45138</v>
      </c>
      <c r="B203" s="154">
        <v>16071.059569999999</v>
      </c>
      <c r="C203" s="146">
        <f t="shared" si="16"/>
        <v>-1.7857089612861921E-2</v>
      </c>
      <c r="D203" s="145"/>
      <c r="E203" s="154">
        <v>58.825687000000002</v>
      </c>
      <c r="F203" s="146">
        <f t="shared" si="16"/>
        <v>-2.8329051561618357E-2</v>
      </c>
      <c r="G203" s="145"/>
      <c r="H203" s="154">
        <v>32.712359999999997</v>
      </c>
      <c r="I203" s="146">
        <f t="shared" si="13"/>
        <v>-9.4338637077513443E-3</v>
      </c>
      <c r="J203" s="145"/>
      <c r="K203" s="154">
        <v>179.132935</v>
      </c>
      <c r="L203" s="146">
        <f t="shared" si="14"/>
        <v>-3.0003593416896623E-2</v>
      </c>
      <c r="M203" s="145"/>
      <c r="N203" s="154">
        <v>55.110000999999997</v>
      </c>
      <c r="O203" s="146">
        <f t="shared" si="15"/>
        <v>-5.2278605252670585E-2</v>
      </c>
    </row>
    <row r="204" spans="1:15">
      <c r="A204" s="151">
        <v>45145</v>
      </c>
      <c r="B204" s="154">
        <v>16143.379883</v>
      </c>
      <c r="C204" s="146">
        <f t="shared" si="16"/>
        <v>4.5000339078451468E-3</v>
      </c>
      <c r="D204" s="145"/>
      <c r="E204" s="154">
        <v>59.271408000000001</v>
      </c>
      <c r="F204" s="146">
        <f t="shared" si="16"/>
        <v>7.5769790839841367E-3</v>
      </c>
      <c r="G204" s="145"/>
      <c r="H204" s="154">
        <v>32.907077999999998</v>
      </c>
      <c r="I204" s="146">
        <f t="shared" si="13"/>
        <v>5.9524289901431437E-3</v>
      </c>
      <c r="J204" s="145"/>
      <c r="K204" s="154">
        <v>178.589508</v>
      </c>
      <c r="L204" s="146">
        <f t="shared" si="14"/>
        <v>-3.0336520752033413E-3</v>
      </c>
      <c r="M204" s="145"/>
      <c r="N204" s="154">
        <v>58.18</v>
      </c>
      <c r="O204" s="146">
        <f t="shared" si="15"/>
        <v>5.5706749125263189E-2</v>
      </c>
    </row>
    <row r="205" spans="1:15">
      <c r="A205" s="151">
        <v>45152</v>
      </c>
      <c r="B205" s="154">
        <v>15750.169921999999</v>
      </c>
      <c r="C205" s="146">
        <f t="shared" si="16"/>
        <v>-2.4357350434036196E-2</v>
      </c>
      <c r="D205" s="145"/>
      <c r="E205" s="154">
        <v>59.058239</v>
      </c>
      <c r="F205" s="146">
        <f t="shared" si="16"/>
        <v>-3.5964895586755308E-3</v>
      </c>
      <c r="G205" s="145"/>
      <c r="H205" s="154">
        <v>32.858398000000001</v>
      </c>
      <c r="I205" s="146">
        <f t="shared" si="13"/>
        <v>-1.479317002864744E-3</v>
      </c>
      <c r="J205" s="145"/>
      <c r="K205" s="154">
        <v>172.90306100000001</v>
      </c>
      <c r="L205" s="146">
        <f t="shared" si="14"/>
        <v>-3.1840879476525474E-2</v>
      </c>
      <c r="M205" s="145"/>
      <c r="N205" s="154">
        <v>57.360000999999997</v>
      </c>
      <c r="O205" s="146">
        <f t="shared" si="15"/>
        <v>-1.4094173255414288E-2</v>
      </c>
    </row>
    <row r="206" spans="1:15">
      <c r="A206" s="151">
        <v>45159</v>
      </c>
      <c r="B206" s="154">
        <v>15766.910156</v>
      </c>
      <c r="C206" s="146">
        <f t="shared" si="16"/>
        <v>1.062860533118215E-3</v>
      </c>
      <c r="D206" s="145"/>
      <c r="E206" s="154">
        <v>58.515616999999999</v>
      </c>
      <c r="F206" s="146">
        <f t="shared" si="16"/>
        <v>-9.187913645715029E-3</v>
      </c>
      <c r="G206" s="145"/>
      <c r="H206" s="154">
        <v>32.400818000000001</v>
      </c>
      <c r="I206" s="146">
        <f t="shared" si="13"/>
        <v>-1.3925815859921142E-2</v>
      </c>
      <c r="J206" s="145"/>
      <c r="K206" s="154">
        <v>174.10633899999999</v>
      </c>
      <c r="L206" s="146">
        <f t="shared" si="14"/>
        <v>6.959263722924991E-3</v>
      </c>
      <c r="M206" s="145"/>
      <c r="N206" s="154">
        <v>57.34</v>
      </c>
      <c r="O206" s="146">
        <f t="shared" si="15"/>
        <v>-3.4869246254010111E-4</v>
      </c>
    </row>
    <row r="207" spans="1:15">
      <c r="A207" s="151">
        <v>45166</v>
      </c>
      <c r="B207" s="154">
        <v>16091.790039</v>
      </c>
      <c r="C207" s="146">
        <f t="shared" si="16"/>
        <v>2.060517119623273E-2</v>
      </c>
      <c r="D207" s="145"/>
      <c r="E207" s="154">
        <v>57.469138999999998</v>
      </c>
      <c r="F207" s="146">
        <f t="shared" si="16"/>
        <v>-1.7883738626561896E-2</v>
      </c>
      <c r="G207" s="145"/>
      <c r="H207" s="154">
        <v>32.663685000000001</v>
      </c>
      <c r="I207" s="146">
        <f t="shared" si="13"/>
        <v>8.1129741847876247E-3</v>
      </c>
      <c r="J207" s="145"/>
      <c r="K207" s="154">
        <v>170.12777700000001</v>
      </c>
      <c r="L207" s="146">
        <f t="shared" si="14"/>
        <v>-2.2851333402628016E-2</v>
      </c>
      <c r="M207" s="145"/>
      <c r="N207" s="154">
        <v>56.549999</v>
      </c>
      <c r="O207" s="146">
        <f t="shared" si="15"/>
        <v>-1.3777485176142412E-2</v>
      </c>
    </row>
    <row r="208" spans="1:15">
      <c r="A208" s="151">
        <v>45173</v>
      </c>
      <c r="B208" s="154">
        <v>15878.990234000001</v>
      </c>
      <c r="C208" s="146">
        <f t="shared" si="16"/>
        <v>-1.3224122641686153E-2</v>
      </c>
      <c r="D208" s="145"/>
      <c r="E208" s="154">
        <v>56.519558000000004</v>
      </c>
      <c r="F208" s="146">
        <f t="shared" si="16"/>
        <v>-1.6523320455522961E-2</v>
      </c>
      <c r="G208" s="145"/>
      <c r="H208" s="154">
        <v>32.478698999999999</v>
      </c>
      <c r="I208" s="146">
        <f t="shared" si="13"/>
        <v>-5.6633536601887746E-3</v>
      </c>
      <c r="J208" s="145"/>
      <c r="K208" s="154">
        <v>172.25297499999999</v>
      </c>
      <c r="L208" s="146">
        <f t="shared" si="14"/>
        <v>1.2491775519996251E-2</v>
      </c>
      <c r="M208" s="145"/>
      <c r="N208" s="154">
        <v>56.369999</v>
      </c>
      <c r="O208" s="146">
        <f t="shared" si="15"/>
        <v>-3.1830239289659668E-3</v>
      </c>
    </row>
    <row r="209" spans="1:15">
      <c r="A209" s="151">
        <v>45180</v>
      </c>
      <c r="B209" s="154">
        <v>15973.679688</v>
      </c>
      <c r="C209" s="146">
        <f t="shared" si="16"/>
        <v>5.963191147838387E-3</v>
      </c>
      <c r="D209" s="145"/>
      <c r="E209" s="154">
        <v>56.141663000000001</v>
      </c>
      <c r="F209" s="146">
        <f t="shared" si="16"/>
        <v>-6.6860926265559506E-3</v>
      </c>
      <c r="G209" s="145"/>
      <c r="H209" s="154">
        <v>32.420284000000002</v>
      </c>
      <c r="I209" s="146">
        <f t="shared" si="13"/>
        <v>-1.7985634215211821E-3</v>
      </c>
      <c r="J209" s="145"/>
      <c r="K209" s="154">
        <v>175.741592</v>
      </c>
      <c r="L209" s="146">
        <f t="shared" si="14"/>
        <v>2.0252869362633596E-2</v>
      </c>
      <c r="M209" s="145"/>
      <c r="N209" s="154">
        <v>56.139999000000003</v>
      </c>
      <c r="O209" s="146">
        <f t="shared" si="15"/>
        <v>-4.080184567681111E-3</v>
      </c>
    </row>
    <row r="210" spans="1:15">
      <c r="A210" s="151">
        <v>45187</v>
      </c>
      <c r="B210" s="154">
        <v>15569.509765999999</v>
      </c>
      <c r="C210" s="146">
        <f t="shared" si="16"/>
        <v>-2.530224280781268E-2</v>
      </c>
      <c r="D210" s="145"/>
      <c r="E210" s="154">
        <v>56.255015999999998</v>
      </c>
      <c r="F210" s="146">
        <f t="shared" si="16"/>
        <v>2.0190531228116981E-3</v>
      </c>
      <c r="G210" s="145"/>
      <c r="H210" s="154">
        <v>32.245044999999998</v>
      </c>
      <c r="I210" s="146">
        <f t="shared" si="13"/>
        <v>-5.4052271719767786E-3</v>
      </c>
      <c r="J210" s="145"/>
      <c r="K210" s="154">
        <v>171.27577199999999</v>
      </c>
      <c r="L210" s="146">
        <f t="shared" si="14"/>
        <v>-2.541128681706728E-2</v>
      </c>
      <c r="M210" s="145"/>
      <c r="N210" s="154">
        <v>54.52</v>
      </c>
      <c r="O210" s="146">
        <f t="shared" si="15"/>
        <v>-2.8856413054086483E-2</v>
      </c>
    </row>
    <row r="211" spans="1:15">
      <c r="A211" s="151">
        <v>45194</v>
      </c>
      <c r="B211" s="154">
        <v>15398.209961</v>
      </c>
      <c r="C211" s="146">
        <f t="shared" si="16"/>
        <v>-1.1002260673234288E-2</v>
      </c>
      <c r="D211" s="145"/>
      <c r="E211" s="154">
        <v>54.672848000000002</v>
      </c>
      <c r="F211" s="146">
        <f t="shared" si="16"/>
        <v>-2.8124923117966882E-2</v>
      </c>
      <c r="G211" s="145"/>
      <c r="H211" s="154">
        <v>30.735989</v>
      </c>
      <c r="I211" s="146">
        <f t="shared" si="13"/>
        <v>-4.6799624562471442E-2</v>
      </c>
      <c r="J211" s="145"/>
      <c r="K211" s="154">
        <v>165.57861299999999</v>
      </c>
      <c r="L211" s="146">
        <f t="shared" si="14"/>
        <v>-3.3263075877421833E-2</v>
      </c>
      <c r="M211" s="145"/>
      <c r="N211" s="154">
        <v>52.950001</v>
      </c>
      <c r="O211" s="146">
        <f t="shared" si="15"/>
        <v>-2.8796753484959692E-2</v>
      </c>
    </row>
    <row r="212" spans="1:15">
      <c r="A212" s="151">
        <v>45201</v>
      </c>
      <c r="B212" s="154">
        <v>15214.019531</v>
      </c>
      <c r="C212" s="146">
        <f t="shared" si="16"/>
        <v>-1.1961807928747015E-2</v>
      </c>
      <c r="D212" s="145"/>
      <c r="E212" s="154">
        <v>51.899158</v>
      </c>
      <c r="F212" s="146">
        <f t="shared" si="16"/>
        <v>-5.0732495223223095E-2</v>
      </c>
      <c r="G212" s="145"/>
      <c r="H212" s="154">
        <v>29.475719000000002</v>
      </c>
      <c r="I212" s="146">
        <f t="shared" si="13"/>
        <v>-4.1003072977414123E-2</v>
      </c>
      <c r="J212" s="145"/>
      <c r="K212" s="154">
        <v>156.63711499999999</v>
      </c>
      <c r="L212" s="146">
        <f t="shared" si="14"/>
        <v>-5.4001527359091916E-2</v>
      </c>
      <c r="M212" s="145"/>
      <c r="N212" s="154">
        <v>49.970001000000003</v>
      </c>
      <c r="O212" s="146">
        <f t="shared" si="15"/>
        <v>-5.627950790784686E-2</v>
      </c>
    </row>
    <row r="213" spans="1:15">
      <c r="A213" s="151">
        <v>45208</v>
      </c>
      <c r="B213" s="154">
        <v>15323.700194999999</v>
      </c>
      <c r="C213" s="146">
        <f t="shared" si="16"/>
        <v>7.2091838568049127E-3</v>
      </c>
      <c r="D213" s="145"/>
      <c r="E213" s="154">
        <v>51.654995</v>
      </c>
      <c r="F213" s="146">
        <f t="shared" si="16"/>
        <v>-4.7045657272513086E-3</v>
      </c>
      <c r="G213" s="145"/>
      <c r="H213" s="154">
        <v>27.554455000000001</v>
      </c>
      <c r="I213" s="146">
        <f t="shared" si="13"/>
        <v>-6.5181242907085712E-2</v>
      </c>
      <c r="J213" s="145"/>
      <c r="K213" s="154">
        <v>156.353745</v>
      </c>
      <c r="L213" s="146">
        <f t="shared" si="14"/>
        <v>-1.8090859244949131E-3</v>
      </c>
      <c r="M213" s="145"/>
      <c r="N213" s="154">
        <v>47.720001000000003</v>
      </c>
      <c r="O213" s="146">
        <f t="shared" si="15"/>
        <v>-4.5027015308644835E-2</v>
      </c>
    </row>
    <row r="214" spans="1:15">
      <c r="A214" s="151">
        <v>45215</v>
      </c>
      <c r="B214" s="154">
        <v>15033.309569999999</v>
      </c>
      <c r="C214" s="146">
        <f t="shared" si="16"/>
        <v>-1.8950424590971293E-2</v>
      </c>
      <c r="D214" s="145"/>
      <c r="E214" s="154">
        <v>53.295769</v>
      </c>
      <c r="F214" s="146">
        <f t="shared" si="16"/>
        <v>3.1764091739821199E-2</v>
      </c>
      <c r="G214" s="145"/>
      <c r="H214" s="154">
        <v>28.083780000000001</v>
      </c>
      <c r="I214" s="146">
        <f t="shared" si="13"/>
        <v>1.9210142243786033E-2</v>
      </c>
      <c r="J214" s="145"/>
      <c r="K214" s="154">
        <v>156.353745</v>
      </c>
      <c r="L214" s="146">
        <f t="shared" si="14"/>
        <v>0</v>
      </c>
      <c r="M214" s="145"/>
      <c r="N214" s="154">
        <v>49.98</v>
      </c>
      <c r="O214" s="146">
        <f t="shared" si="15"/>
        <v>4.7359575704954304E-2</v>
      </c>
    </row>
    <row r="215" spans="1:15">
      <c r="A215" s="151">
        <v>45222</v>
      </c>
      <c r="B215" s="154">
        <v>14675.780273</v>
      </c>
      <c r="C215" s="146">
        <f t="shared" si="16"/>
        <v>-2.3782474200722437E-2</v>
      </c>
      <c r="D215" s="145"/>
      <c r="E215" s="154">
        <v>53.950122999999998</v>
      </c>
      <c r="F215" s="146">
        <f t="shared" si="16"/>
        <v>1.2277785127746244E-2</v>
      </c>
      <c r="G215" s="145"/>
      <c r="H215" s="154">
        <v>29.279672999999999</v>
      </c>
      <c r="I215" s="146">
        <f t="shared" si="13"/>
        <v>4.2583049717666244E-2</v>
      </c>
      <c r="J215" s="145"/>
      <c r="K215" s="154">
        <v>155.98240699999999</v>
      </c>
      <c r="L215" s="146">
        <f t="shared" si="14"/>
        <v>-2.3749862851063508E-3</v>
      </c>
      <c r="M215" s="145"/>
      <c r="N215" s="154">
        <v>49.900002000000001</v>
      </c>
      <c r="O215" s="146">
        <f t="shared" si="15"/>
        <v>-1.6006002400960062E-3</v>
      </c>
    </row>
    <row r="216" spans="1:15">
      <c r="A216" s="151">
        <v>45229</v>
      </c>
      <c r="B216" s="154">
        <v>15475.200194999999</v>
      </c>
      <c r="C216" s="146">
        <f t="shared" si="16"/>
        <v>5.4472055804129615E-2</v>
      </c>
      <c r="D216" s="145"/>
      <c r="E216" s="154">
        <v>55.415100000000002</v>
      </c>
      <c r="F216" s="146">
        <f t="shared" si="16"/>
        <v>2.7154284708489129E-2</v>
      </c>
      <c r="G216" s="145"/>
      <c r="H216" s="154">
        <v>30.504968999999999</v>
      </c>
      <c r="I216" s="146">
        <f t="shared" si="13"/>
        <v>4.1848008343535747E-2</v>
      </c>
      <c r="J216" s="145"/>
      <c r="K216" s="154">
        <v>162.989014</v>
      </c>
      <c r="L216" s="146">
        <f t="shared" si="14"/>
        <v>4.491921322896375E-2</v>
      </c>
      <c r="M216" s="145"/>
      <c r="N216" s="154">
        <v>55.560001</v>
      </c>
      <c r="O216" s="146">
        <f t="shared" si="15"/>
        <v>0.11342682912116908</v>
      </c>
    </row>
    <row r="217" spans="1:15">
      <c r="A217" s="151">
        <v>45236</v>
      </c>
      <c r="B217" s="154">
        <v>15388.440430000001</v>
      </c>
      <c r="C217" s="146">
        <f t="shared" si="16"/>
        <v>-5.606374321931562E-3</v>
      </c>
      <c r="D217" s="145"/>
      <c r="E217" s="154">
        <v>55.395564999999998</v>
      </c>
      <c r="F217" s="146">
        <f t="shared" si="16"/>
        <v>-3.5252124420970254E-4</v>
      </c>
      <c r="G217" s="145"/>
      <c r="H217" s="154">
        <v>30.357932999999999</v>
      </c>
      <c r="I217" s="146">
        <f t="shared" si="13"/>
        <v>-4.8200671831529762E-3</v>
      </c>
      <c r="J217" s="145"/>
      <c r="K217" s="154">
        <v>163.11604299999999</v>
      </c>
      <c r="L217" s="146">
        <f t="shared" si="14"/>
        <v>7.793715470909568E-4</v>
      </c>
      <c r="M217" s="145"/>
      <c r="N217" s="154">
        <v>55.279998999999997</v>
      </c>
      <c r="O217" s="146">
        <f t="shared" si="15"/>
        <v>-5.0396327386675877E-3</v>
      </c>
    </row>
    <row r="218" spans="1:15">
      <c r="A218" s="151">
        <v>45243</v>
      </c>
      <c r="B218" s="154">
        <v>15813.459961</v>
      </c>
      <c r="C218" s="146">
        <f t="shared" si="16"/>
        <v>2.7619402559561301E-2</v>
      </c>
      <c r="D218" s="145"/>
      <c r="E218" s="154">
        <v>55.922950999999998</v>
      </c>
      <c r="F218" s="146">
        <f t="shared" si="16"/>
        <v>9.5203650328326006E-3</v>
      </c>
      <c r="G218" s="145"/>
      <c r="H218" s="154">
        <v>31.102910999999999</v>
      </c>
      <c r="I218" s="146">
        <f t="shared" si="13"/>
        <v>2.4539813036678071E-2</v>
      </c>
      <c r="J218" s="145"/>
      <c r="K218" s="154">
        <v>162.959686</v>
      </c>
      <c r="L218" s="146">
        <f t="shared" si="14"/>
        <v>-9.5856297838214921E-4</v>
      </c>
      <c r="M218" s="145"/>
      <c r="N218" s="154">
        <v>54.790000999999997</v>
      </c>
      <c r="O218" s="146">
        <f t="shared" si="15"/>
        <v>-8.8639292486238919E-3</v>
      </c>
    </row>
    <row r="219" spans="1:15">
      <c r="A219" s="151">
        <v>45250</v>
      </c>
      <c r="B219" s="154">
        <v>15983.820313</v>
      </c>
      <c r="C219" s="146">
        <f t="shared" si="16"/>
        <v>1.0773123176088584E-2</v>
      </c>
      <c r="D219" s="145"/>
      <c r="E219" s="154">
        <v>57.202365999999998</v>
      </c>
      <c r="F219" s="146">
        <f t="shared" si="16"/>
        <v>2.2878173936135893E-2</v>
      </c>
      <c r="G219" s="145"/>
      <c r="H219" s="154">
        <v>31.975322999999999</v>
      </c>
      <c r="I219" s="146">
        <f t="shared" si="13"/>
        <v>2.8049207355542949E-2</v>
      </c>
      <c r="J219" s="145"/>
      <c r="K219" s="154">
        <v>165.51020800000001</v>
      </c>
      <c r="L219" s="146">
        <f t="shared" si="14"/>
        <v>1.5651245179743478E-2</v>
      </c>
      <c r="M219" s="145"/>
      <c r="N219" s="154">
        <v>55.169998</v>
      </c>
      <c r="O219" s="146">
        <f t="shared" si="15"/>
        <v>6.9355173036043105E-3</v>
      </c>
    </row>
    <row r="220" spans="1:15">
      <c r="A220" s="151">
        <v>45257</v>
      </c>
      <c r="B220" s="154">
        <v>16263.75</v>
      </c>
      <c r="C220" s="146">
        <f t="shared" si="16"/>
        <v>1.7513315435129462E-2</v>
      </c>
      <c r="D220" s="145"/>
      <c r="E220" s="154">
        <v>57.270733</v>
      </c>
      <c r="F220" s="146">
        <f t="shared" si="16"/>
        <v>1.1951778358259002E-3</v>
      </c>
      <c r="G220" s="145"/>
      <c r="H220" s="154">
        <v>31.534213999999999</v>
      </c>
      <c r="I220" s="146">
        <f t="shared" si="13"/>
        <v>-1.3795294577634176E-2</v>
      </c>
      <c r="J220" s="145"/>
      <c r="K220" s="154">
        <v>164.84570299999999</v>
      </c>
      <c r="L220" s="146">
        <f t="shared" si="14"/>
        <v>-4.0148883143208414E-3</v>
      </c>
      <c r="M220" s="145"/>
      <c r="N220" s="154">
        <v>55.220001000000003</v>
      </c>
      <c r="O220" s="146">
        <f t="shared" si="15"/>
        <v>9.0634406040779325E-4</v>
      </c>
    </row>
    <row r="221" spans="1:15">
      <c r="A221" s="151">
        <v>45264</v>
      </c>
      <c r="B221" s="154">
        <v>16207.759765999999</v>
      </c>
      <c r="C221" s="146">
        <f t="shared" si="16"/>
        <v>-3.4426398585812867E-3</v>
      </c>
      <c r="D221" s="145"/>
      <c r="E221" s="154">
        <v>57.697223999999999</v>
      </c>
      <c r="F221" s="146">
        <f t="shared" si="16"/>
        <v>7.4469275607140784E-3</v>
      </c>
      <c r="G221" s="145"/>
      <c r="H221" s="154">
        <v>31.475403</v>
      </c>
      <c r="I221" s="146">
        <f t="shared" si="13"/>
        <v>-1.864990197630978E-3</v>
      </c>
      <c r="J221" s="145"/>
      <c r="K221" s="154">
        <v>163.13885500000001</v>
      </c>
      <c r="L221" s="146">
        <f t="shared" si="14"/>
        <v>-1.0354215905767239E-2</v>
      </c>
      <c r="M221" s="145"/>
      <c r="N221" s="154">
        <v>53.919998</v>
      </c>
      <c r="O221" s="146">
        <f t="shared" si="15"/>
        <v>-2.3542248758742446E-2</v>
      </c>
    </row>
    <row r="222" spans="1:15">
      <c r="A222" s="151">
        <v>45271</v>
      </c>
      <c r="B222" s="154">
        <v>16609.839843999998</v>
      </c>
      <c r="C222" s="146">
        <f t="shared" si="16"/>
        <v>2.4807874981184419E-2</v>
      </c>
      <c r="D222" s="145"/>
      <c r="E222" s="154">
        <v>57.687378000000002</v>
      </c>
      <c r="F222" s="146">
        <f t="shared" si="16"/>
        <v>-1.7064945793576758E-4</v>
      </c>
      <c r="G222" s="145"/>
      <c r="H222" s="154">
        <v>31.338169000000001</v>
      </c>
      <c r="I222" s="146">
        <f t="shared" si="13"/>
        <v>-4.3600394886127436E-3</v>
      </c>
      <c r="J222" s="145"/>
      <c r="K222" s="154">
        <v>164.43862899999999</v>
      </c>
      <c r="L222" s="146">
        <f t="shared" si="14"/>
        <v>7.9672865179787333E-3</v>
      </c>
      <c r="M222" s="145"/>
      <c r="N222" s="154">
        <v>55.09</v>
      </c>
      <c r="O222" s="146">
        <f t="shared" si="15"/>
        <v>2.1698850953221438E-2</v>
      </c>
    </row>
    <row r="223" spans="1:15">
      <c r="A223" s="151">
        <v>45278</v>
      </c>
      <c r="B223" s="154">
        <v>16770.449218999998</v>
      </c>
      <c r="C223" s="146">
        <f t="shared" si="16"/>
        <v>9.6695318262214336E-3</v>
      </c>
      <c r="D223" s="145"/>
      <c r="E223" s="154">
        <v>57.411738999999997</v>
      </c>
      <c r="F223" s="146">
        <f t="shared" si="16"/>
        <v>-4.778150950109139E-3</v>
      </c>
      <c r="G223" s="145"/>
      <c r="H223" s="154">
        <v>32.181175000000003</v>
      </c>
      <c r="I223" s="146">
        <f t="shared" si="13"/>
        <v>2.6900295291661935E-2</v>
      </c>
      <c r="J223" s="145"/>
      <c r="K223" s="154">
        <v>165.10818499999999</v>
      </c>
      <c r="L223" s="146">
        <f t="shared" si="14"/>
        <v>4.0717683191096032E-3</v>
      </c>
      <c r="M223" s="145"/>
      <c r="N223" s="154">
        <v>56.009998000000003</v>
      </c>
      <c r="O223" s="146">
        <f t="shared" si="15"/>
        <v>1.6699909239426436E-2</v>
      </c>
    </row>
    <row r="224" spans="1:15">
      <c r="A224" s="151">
        <v>45285</v>
      </c>
      <c r="B224" s="154">
        <v>16852.890625</v>
      </c>
      <c r="C224" s="146">
        <f t="shared" si="16"/>
        <v>4.915873446407204E-3</v>
      </c>
      <c r="D224" s="145"/>
      <c r="E224" s="154">
        <v>58.012238000000004</v>
      </c>
      <c r="F224" s="146">
        <f t="shared" si="16"/>
        <v>1.0459515953697318E-2</v>
      </c>
      <c r="G224" s="145"/>
      <c r="H224" s="154">
        <v>32.661490999999998</v>
      </c>
      <c r="I224" s="146">
        <f t="shared" si="13"/>
        <v>1.4925371742952054E-2</v>
      </c>
      <c r="J224" s="145"/>
      <c r="K224" s="154">
        <v>167.235062</v>
      </c>
      <c r="L224" s="146">
        <f t="shared" si="14"/>
        <v>1.2881717523574032E-2</v>
      </c>
      <c r="M224" s="145"/>
      <c r="N224" s="154">
        <v>57.610000999999997</v>
      </c>
      <c r="O224" s="146">
        <f t="shared" si="15"/>
        <v>2.8566382023437864E-2</v>
      </c>
    </row>
    <row r="225" spans="1:15">
      <c r="A225" s="151">
        <v>45292</v>
      </c>
      <c r="B225" s="154">
        <v>16758.240234000001</v>
      </c>
      <c r="C225" s="146">
        <f t="shared" si="16"/>
        <v>-5.616270413551061E-3</v>
      </c>
      <c r="D225" s="145"/>
      <c r="E225" s="154">
        <v>58.740715000000002</v>
      </c>
      <c r="F225" s="146">
        <f t="shared" si="16"/>
        <v>1.2557298685839324E-2</v>
      </c>
      <c r="G225" s="145"/>
      <c r="H225" s="154">
        <v>31.338169000000001</v>
      </c>
      <c r="I225" s="146">
        <f t="shared" si="13"/>
        <v>-4.0516276492092662E-2</v>
      </c>
      <c r="J225" s="145"/>
      <c r="K225" s="154">
        <v>166.34887699999999</v>
      </c>
      <c r="L225" s="146">
        <f t="shared" si="14"/>
        <v>-5.2990383081270576E-3</v>
      </c>
      <c r="M225" s="145"/>
      <c r="N225" s="154">
        <v>57.540000999999997</v>
      </c>
      <c r="O225" s="146">
        <f t="shared" si="15"/>
        <v>-1.2150668075843196E-3</v>
      </c>
    </row>
    <row r="226" spans="1:15">
      <c r="A226" s="151">
        <v>45299</v>
      </c>
      <c r="B226" s="154">
        <v>16799.539063</v>
      </c>
      <c r="C226" s="146">
        <f t="shared" si="16"/>
        <v>2.4643893644757942E-3</v>
      </c>
      <c r="D226" s="145"/>
      <c r="E226" s="154">
        <v>59.449500999999998</v>
      </c>
      <c r="F226" s="146">
        <f t="shared" si="16"/>
        <v>1.2066349549882061E-2</v>
      </c>
      <c r="G226" s="145"/>
      <c r="H226" s="154">
        <v>31.487078</v>
      </c>
      <c r="I226" s="146">
        <f t="shared" si="13"/>
        <v>4.751681567611632E-3</v>
      </c>
      <c r="J226" s="145"/>
      <c r="K226" s="154">
        <v>164.70448300000001</v>
      </c>
      <c r="L226" s="146">
        <f t="shared" si="14"/>
        <v>-9.8852125103313648E-3</v>
      </c>
      <c r="M226" s="145"/>
      <c r="N226" s="154">
        <v>59.049999</v>
      </c>
      <c r="O226" s="146">
        <f t="shared" si="15"/>
        <v>2.6242578619350532E-2</v>
      </c>
    </row>
    <row r="227" spans="1:15">
      <c r="A227" s="151">
        <v>45306</v>
      </c>
      <c r="B227" s="154">
        <v>16729.550781000002</v>
      </c>
      <c r="C227" s="146">
        <f t="shared" si="16"/>
        <v>-4.1660834703580729E-3</v>
      </c>
      <c r="D227" s="145"/>
      <c r="E227" s="154">
        <v>58.898228000000003</v>
      </c>
      <c r="F227" s="146">
        <f t="shared" si="16"/>
        <v>-9.2729626107374008E-3</v>
      </c>
      <c r="G227" s="145"/>
      <c r="H227" s="154">
        <v>31.467341999999999</v>
      </c>
      <c r="I227" s="146">
        <f t="shared" si="13"/>
        <v>-6.2679680851940311E-4</v>
      </c>
      <c r="J227" s="145"/>
      <c r="K227" s="154">
        <v>163.237335</v>
      </c>
      <c r="L227" s="146">
        <f t="shared" si="14"/>
        <v>-8.9077599666792517E-3</v>
      </c>
      <c r="M227" s="145"/>
      <c r="N227" s="154">
        <v>57.18</v>
      </c>
      <c r="O227" s="146">
        <f t="shared" si="15"/>
        <v>-3.1668061501575973E-2</v>
      </c>
    </row>
    <row r="228" spans="1:15">
      <c r="A228" s="151">
        <v>45313</v>
      </c>
      <c r="B228" s="154">
        <v>16949.109375</v>
      </c>
      <c r="C228" s="146">
        <f t="shared" si="16"/>
        <v>1.312399817987675E-2</v>
      </c>
      <c r="D228" s="145"/>
      <c r="E228" s="154">
        <v>58.445385000000002</v>
      </c>
      <c r="F228" s="146">
        <f t="shared" si="16"/>
        <v>-7.6885674726920872E-3</v>
      </c>
      <c r="G228" s="145"/>
      <c r="H228" s="154">
        <v>31.556149999999999</v>
      </c>
      <c r="I228" s="146">
        <f t="shared" si="13"/>
        <v>2.8222275653277951E-3</v>
      </c>
      <c r="J228" s="145"/>
      <c r="K228" s="154">
        <v>165.28543099999999</v>
      </c>
      <c r="L228" s="146">
        <f t="shared" si="14"/>
        <v>1.2546737546284881E-2</v>
      </c>
      <c r="M228" s="145"/>
      <c r="N228" s="154">
        <v>55.439999</v>
      </c>
      <c r="O228" s="146">
        <f t="shared" si="15"/>
        <v>-3.0430237845400443E-2</v>
      </c>
    </row>
    <row r="229" spans="1:15">
      <c r="A229" s="151">
        <v>45320</v>
      </c>
      <c r="B229" s="154">
        <v>17101.970702999999</v>
      </c>
      <c r="C229" s="146">
        <f t="shared" si="16"/>
        <v>9.0188413218614816E-3</v>
      </c>
      <c r="D229" s="145"/>
      <c r="E229" s="154">
        <v>59.597168000000003</v>
      </c>
      <c r="F229" s="146">
        <f t="shared" si="16"/>
        <v>1.9706996540445498E-2</v>
      </c>
      <c r="G229" s="145"/>
      <c r="H229" s="154">
        <v>31.230522000000001</v>
      </c>
      <c r="I229" s="146">
        <f t="shared" si="13"/>
        <v>-1.031900279343323E-2</v>
      </c>
      <c r="J229" s="145"/>
      <c r="K229" s="154">
        <v>168.34773300000001</v>
      </c>
      <c r="L229" s="146">
        <f t="shared" si="14"/>
        <v>1.8527355868406925E-2</v>
      </c>
      <c r="M229" s="145"/>
      <c r="N229" s="154">
        <v>55.349997999999999</v>
      </c>
      <c r="O229" s="146">
        <f t="shared" si="15"/>
        <v>-1.6233946901766938E-3</v>
      </c>
    </row>
    <row r="230" spans="1:15">
      <c r="A230" s="151">
        <v>45327</v>
      </c>
      <c r="B230" s="154">
        <v>17275.869140999999</v>
      </c>
      <c r="C230" s="146">
        <f t="shared" si="16"/>
        <v>1.0168327441322011E-2</v>
      </c>
      <c r="D230" s="145"/>
      <c r="E230" s="154">
        <v>58.632430999999997</v>
      </c>
      <c r="F230" s="146">
        <f t="shared" si="16"/>
        <v>-1.6187631600213082E-2</v>
      </c>
      <c r="G230" s="145"/>
      <c r="H230" s="154">
        <v>30.73715</v>
      </c>
      <c r="I230" s="146">
        <f t="shared" si="13"/>
        <v>-1.57977506748046E-2</v>
      </c>
      <c r="J230" s="145"/>
      <c r="K230" s="154">
        <v>165.098343</v>
      </c>
      <c r="L230" s="146">
        <f t="shared" si="14"/>
        <v>-1.9301655817367092E-2</v>
      </c>
      <c r="M230" s="145"/>
      <c r="N230" s="154">
        <v>55.66</v>
      </c>
      <c r="O230" s="146">
        <f t="shared" si="15"/>
        <v>5.6007590099640403E-3</v>
      </c>
    </row>
    <row r="231" spans="1:15">
      <c r="A231" s="151">
        <v>45334</v>
      </c>
      <c r="B231" s="154">
        <v>17409.300781000002</v>
      </c>
      <c r="C231" s="146">
        <f t="shared" si="16"/>
        <v>7.7235847823908799E-3</v>
      </c>
      <c r="D231" s="145"/>
      <c r="E231" s="154">
        <v>58.465076000000003</v>
      </c>
      <c r="F231" s="146">
        <f t="shared" si="16"/>
        <v>-2.854307712398807E-3</v>
      </c>
      <c r="G231" s="145"/>
      <c r="H231" s="154">
        <v>30.559536000000001</v>
      </c>
      <c r="I231" s="146">
        <f t="shared" si="13"/>
        <v>-5.7784797874883553E-3</v>
      </c>
      <c r="J231" s="145"/>
      <c r="K231" s="154">
        <v>163.769058</v>
      </c>
      <c r="L231" s="146">
        <f t="shared" si="14"/>
        <v>-8.0514739024364346E-3</v>
      </c>
      <c r="M231" s="145"/>
      <c r="N231" s="154">
        <v>55.02</v>
      </c>
      <c r="O231" s="146">
        <f t="shared" si="15"/>
        <v>-1.149838303988493E-2</v>
      </c>
    </row>
    <row r="232" spans="1:15">
      <c r="A232" s="151">
        <v>45341</v>
      </c>
      <c r="B232" s="154">
        <v>17616.019531000002</v>
      </c>
      <c r="C232" s="146">
        <f t="shared" si="16"/>
        <v>1.1874040927916329E-2</v>
      </c>
      <c r="D232" s="145"/>
      <c r="E232" s="154">
        <v>60.246890999999998</v>
      </c>
      <c r="F232" s="146">
        <f t="shared" si="16"/>
        <v>3.0476570320373764E-2</v>
      </c>
      <c r="G232" s="145"/>
      <c r="H232" s="154">
        <v>29.789874999999999</v>
      </c>
      <c r="I232" s="146">
        <f t="shared" si="13"/>
        <v>-2.5185624546131935E-2</v>
      </c>
      <c r="J232" s="145"/>
      <c r="K232" s="154">
        <v>166.998749</v>
      </c>
      <c r="L232" s="146">
        <f t="shared" si="14"/>
        <v>1.972100859247794E-2</v>
      </c>
      <c r="M232" s="145"/>
      <c r="N232" s="154">
        <v>55.290000999999997</v>
      </c>
      <c r="O232" s="146">
        <f t="shared" si="15"/>
        <v>4.9073246092328215E-3</v>
      </c>
    </row>
    <row r="233" spans="1:15" ht="18">
      <c r="A233" s="151">
        <v>45348</v>
      </c>
      <c r="B233" s="155">
        <v>17728.27</v>
      </c>
      <c r="C233" s="146">
        <f t="shared" si="16"/>
        <v>6.3720676968179735E-3</v>
      </c>
      <c r="E233" s="72">
        <v>57.34</v>
      </c>
      <c r="F233" s="146">
        <f t="shared" si="16"/>
        <v>-4.8249643288647004E-2</v>
      </c>
      <c r="G233" s="147"/>
      <c r="H233" s="72">
        <v>28.32</v>
      </c>
      <c r="I233" s="146">
        <f t="shared" si="13"/>
        <v>-4.9341428925096187E-2</v>
      </c>
      <c r="K233" s="72">
        <v>158.09</v>
      </c>
      <c r="L233" s="146">
        <f t="shared" si="14"/>
        <v>-5.3346202012567123E-2</v>
      </c>
      <c r="N233" s="72">
        <v>58.79</v>
      </c>
      <c r="O233" s="146">
        <f t="shared" si="15"/>
        <v>6.3302567131442222E-2</v>
      </c>
    </row>
    <row r="234" spans="1:15" ht="18">
      <c r="A234" s="151">
        <v>45355</v>
      </c>
      <c r="B234" s="155">
        <v>17889.62</v>
      </c>
      <c r="C234" s="146">
        <f t="shared" ref="C234:C284" si="17">B234/B233-1</f>
        <v>9.1012828662919709E-3</v>
      </c>
      <c r="E234" s="72">
        <v>57.33</v>
      </c>
      <c r="F234" s="146">
        <f t="shared" ref="F234:F265" si="18">E234/E233-1</f>
        <v>-1.7439832577614833E-4</v>
      </c>
      <c r="G234" s="147"/>
      <c r="H234" s="72">
        <v>28.18</v>
      </c>
      <c r="I234" s="146">
        <f t="shared" si="13"/>
        <v>-4.9435028248587809E-3</v>
      </c>
      <c r="K234" s="72">
        <v>157.80000000000001</v>
      </c>
      <c r="L234" s="146">
        <f t="shared" si="14"/>
        <v>-1.8343981276487398E-3</v>
      </c>
      <c r="N234" s="72">
        <v>59.18</v>
      </c>
      <c r="O234" s="146">
        <f t="shared" si="15"/>
        <v>6.6337812553154407E-3</v>
      </c>
    </row>
    <row r="235" spans="1:15" ht="18">
      <c r="A235" s="151">
        <v>45362</v>
      </c>
      <c r="B235" s="155">
        <v>17848.080000000002</v>
      </c>
      <c r="C235" s="146">
        <f t="shared" si="17"/>
        <v>-2.3220169014208647E-3</v>
      </c>
      <c r="E235" s="72">
        <v>57.68</v>
      </c>
      <c r="F235" s="146">
        <f t="shared" si="18"/>
        <v>6.1050061050060833E-3</v>
      </c>
      <c r="G235" s="147"/>
      <c r="H235" s="72">
        <v>27.93</v>
      </c>
      <c r="I235" s="146">
        <f t="shared" si="13"/>
        <v>-8.871540099361197E-3</v>
      </c>
      <c r="K235" s="72">
        <v>159.36000000000001</v>
      </c>
      <c r="L235" s="146">
        <f t="shared" si="14"/>
        <v>9.8859315589354679E-3</v>
      </c>
      <c r="N235" s="72">
        <v>60.45</v>
      </c>
      <c r="O235" s="146">
        <f t="shared" si="15"/>
        <v>2.145995268671852E-2</v>
      </c>
    </row>
    <row r="236" spans="1:15" ht="18">
      <c r="A236" s="151">
        <v>45369</v>
      </c>
      <c r="B236" s="155">
        <v>18112.04</v>
      </c>
      <c r="C236" s="146">
        <f t="shared" si="17"/>
        <v>1.478926584820317E-2</v>
      </c>
      <c r="E236" s="72">
        <v>58.73</v>
      </c>
      <c r="F236" s="146">
        <f t="shared" si="18"/>
        <v>1.8203883495145678E-2</v>
      </c>
      <c r="G236" s="147"/>
      <c r="H236" s="72">
        <v>28.82</v>
      </c>
      <c r="I236" s="146">
        <f t="shared" si="13"/>
        <v>3.1865377730039501E-2</v>
      </c>
      <c r="K236" s="72">
        <v>166.48</v>
      </c>
      <c r="L236" s="146">
        <f t="shared" si="14"/>
        <v>4.467871485943764E-2</v>
      </c>
      <c r="N236" s="72">
        <v>59.5</v>
      </c>
      <c r="O236" s="146">
        <f t="shared" si="15"/>
        <v>-1.5715467328370591E-2</v>
      </c>
    </row>
    <row r="237" spans="1:15" ht="18">
      <c r="A237" s="151">
        <v>45376</v>
      </c>
      <c r="B237" s="155">
        <v>18312.669999999998</v>
      </c>
      <c r="C237" s="146">
        <f t="shared" si="17"/>
        <v>1.1077161932062651E-2</v>
      </c>
      <c r="E237" s="155">
        <v>59.4</v>
      </c>
      <c r="F237" s="146">
        <f t="shared" si="18"/>
        <v>1.140813894091619E-2</v>
      </c>
      <c r="G237" s="147"/>
      <c r="H237" s="72">
        <v>29.66</v>
      </c>
      <c r="I237" s="146">
        <f t="shared" si="13"/>
        <v>2.9146426092991007E-2</v>
      </c>
      <c r="K237" s="72">
        <v>169.38</v>
      </c>
      <c r="L237" s="146">
        <f t="shared" si="14"/>
        <v>1.7419509851033244E-2</v>
      </c>
      <c r="N237" s="72">
        <v>59.28</v>
      </c>
      <c r="O237" s="146">
        <f t="shared" si="15"/>
        <v>-3.6974789915966699E-3</v>
      </c>
    </row>
    <row r="238" spans="1:15" ht="18">
      <c r="A238" s="151">
        <v>45383</v>
      </c>
      <c r="B238" s="155">
        <v>18122.259999999998</v>
      </c>
      <c r="C238" s="146">
        <f t="shared" si="17"/>
        <v>-1.0397719174757181E-2</v>
      </c>
      <c r="E238" s="155">
        <v>57.78</v>
      </c>
      <c r="F238" s="146">
        <f t="shared" si="18"/>
        <v>-2.7272727272727226E-2</v>
      </c>
      <c r="G238" s="147"/>
      <c r="H238" s="155">
        <v>29.97</v>
      </c>
      <c r="I238" s="146">
        <f t="shared" si="13"/>
        <v>1.0451786918408645E-2</v>
      </c>
      <c r="K238" s="72">
        <v>163.69999999999999</v>
      </c>
      <c r="L238" s="146">
        <f t="shared" si="14"/>
        <v>-3.3534065415043113E-2</v>
      </c>
      <c r="N238" s="72">
        <v>55.9</v>
      </c>
      <c r="O238" s="146">
        <f t="shared" si="15"/>
        <v>-5.7017543859649189E-2</v>
      </c>
    </row>
    <row r="239" spans="1:15" ht="18">
      <c r="A239" s="151">
        <v>45390</v>
      </c>
      <c r="B239" s="155">
        <v>17639.04</v>
      </c>
      <c r="C239" s="146">
        <f t="shared" si="17"/>
        <v>-2.6664444721574365E-2</v>
      </c>
      <c r="E239" s="155">
        <v>56.59</v>
      </c>
      <c r="F239" s="146">
        <f t="shared" si="18"/>
        <v>-2.0595361716857052E-2</v>
      </c>
      <c r="G239" s="147"/>
      <c r="H239" s="155">
        <v>29.43</v>
      </c>
      <c r="I239" s="146">
        <f t="shared" si="13"/>
        <v>-1.8018018018017945E-2</v>
      </c>
      <c r="K239" s="72">
        <v>162.69</v>
      </c>
      <c r="L239" s="146">
        <f t="shared" si="14"/>
        <v>-6.1698228466706695E-3</v>
      </c>
      <c r="N239" s="72">
        <v>55.01</v>
      </c>
      <c r="O239" s="146">
        <f t="shared" si="15"/>
        <v>-1.5921288014311252E-2</v>
      </c>
    </row>
    <row r="240" spans="1:15" ht="18">
      <c r="A240" s="151">
        <v>45397</v>
      </c>
      <c r="B240" s="155">
        <v>17458.77</v>
      </c>
      <c r="C240" s="146">
        <f t="shared" si="17"/>
        <v>-1.0219943942527454E-2</v>
      </c>
      <c r="E240" s="155">
        <v>58.42</v>
      </c>
      <c r="F240" s="146">
        <f t="shared" si="18"/>
        <v>3.2337868881427756E-2</v>
      </c>
      <c r="G240" s="147"/>
      <c r="H240" s="155">
        <v>30.68</v>
      </c>
      <c r="I240" s="146">
        <f t="shared" si="13"/>
        <v>4.2473666326877435E-2</v>
      </c>
      <c r="K240" s="72">
        <v>168.52</v>
      </c>
      <c r="L240" s="146">
        <f t="shared" si="14"/>
        <v>3.583502366463831E-2</v>
      </c>
      <c r="N240" s="72">
        <v>53.14</v>
      </c>
      <c r="O240" s="146">
        <f t="shared" si="15"/>
        <v>-3.3993819305580764E-2</v>
      </c>
    </row>
    <row r="241" spans="1:15" ht="18">
      <c r="A241" s="151">
        <v>45404</v>
      </c>
      <c r="B241" s="155">
        <v>17763.27</v>
      </c>
      <c r="C241" s="146">
        <f t="shared" si="17"/>
        <v>1.7441091210892878E-2</v>
      </c>
      <c r="E241" s="155">
        <v>59.95</v>
      </c>
      <c r="F241" s="146">
        <f t="shared" si="18"/>
        <v>2.6189661074974335E-2</v>
      </c>
      <c r="G241" s="147"/>
      <c r="H241" s="155">
        <v>32.840000000000003</v>
      </c>
      <c r="I241" s="146">
        <f t="shared" si="13"/>
        <v>7.0404172099087559E-2</v>
      </c>
      <c r="K241" s="72">
        <v>169.93</v>
      </c>
      <c r="L241" s="146">
        <f t="shared" si="14"/>
        <v>8.3669594113457979E-3</v>
      </c>
      <c r="N241" s="72">
        <v>53.37</v>
      </c>
      <c r="O241" s="146">
        <f t="shared" si="15"/>
        <v>4.3281896876175008E-3</v>
      </c>
    </row>
    <row r="242" spans="1:15" ht="18">
      <c r="A242" s="151">
        <v>45411</v>
      </c>
      <c r="B242" s="155">
        <v>17797.89</v>
      </c>
      <c r="C242" s="146">
        <f t="shared" si="17"/>
        <v>1.9489654776401188E-3</v>
      </c>
      <c r="E242" s="155">
        <v>60.36</v>
      </c>
      <c r="F242" s="146">
        <f t="shared" si="18"/>
        <v>6.8390325271059371E-3</v>
      </c>
      <c r="G242" s="147"/>
      <c r="H242" s="155">
        <v>32.950000000000003</v>
      </c>
      <c r="I242" s="146">
        <f t="shared" si="13"/>
        <v>3.349573690621277E-3</v>
      </c>
      <c r="K242" s="72">
        <v>170.48</v>
      </c>
      <c r="L242" s="146">
        <f t="shared" si="14"/>
        <v>3.2366268463484005E-3</v>
      </c>
      <c r="N242" s="72">
        <v>55</v>
      </c>
      <c r="O242" s="146">
        <f t="shared" si="15"/>
        <v>3.0541502716882274E-2</v>
      </c>
    </row>
    <row r="243" spans="1:15" ht="18">
      <c r="A243" s="151">
        <v>45418</v>
      </c>
      <c r="B243" s="155">
        <v>18162.05</v>
      </c>
      <c r="C243" s="146">
        <f t="shared" si="17"/>
        <v>2.046085238193962E-2</v>
      </c>
      <c r="E243" s="155">
        <v>61.42</v>
      </c>
      <c r="F243" s="146">
        <f t="shared" si="18"/>
        <v>1.7561298873426168E-2</v>
      </c>
      <c r="G243" s="147"/>
      <c r="H243" s="155">
        <v>33.14</v>
      </c>
      <c r="I243" s="146">
        <f t="shared" si="13"/>
        <v>5.7663125948406169E-3</v>
      </c>
      <c r="K243" s="72">
        <v>174</v>
      </c>
      <c r="L243" s="146">
        <f t="shared" si="14"/>
        <v>2.0647583294228111E-2</v>
      </c>
      <c r="N243" s="72">
        <v>55.46</v>
      </c>
      <c r="O243" s="146">
        <f t="shared" si="15"/>
        <v>8.3636363636363509E-3</v>
      </c>
    </row>
    <row r="244" spans="1:15" ht="18">
      <c r="A244" s="151">
        <v>45425</v>
      </c>
      <c r="B244" s="155">
        <v>18388.259999999998</v>
      </c>
      <c r="C244" s="146">
        <f t="shared" si="17"/>
        <v>1.2455091798557971E-2</v>
      </c>
      <c r="E244" s="155">
        <v>61.2</v>
      </c>
      <c r="F244" s="146">
        <f t="shared" si="18"/>
        <v>-3.5818951481602079E-3</v>
      </c>
      <c r="G244" s="147"/>
      <c r="H244" s="155">
        <v>32.869999999999997</v>
      </c>
      <c r="I244" s="146">
        <f t="shared" si="13"/>
        <v>-8.1472540736271526E-3</v>
      </c>
      <c r="K244" s="72">
        <v>176.32</v>
      </c>
      <c r="L244" s="146">
        <f t="shared" si="14"/>
        <v>1.3333333333333197E-2</v>
      </c>
      <c r="N244" s="72">
        <v>54.11</v>
      </c>
      <c r="O244" s="146">
        <f t="shared" si="15"/>
        <v>-2.4341868012982326E-2</v>
      </c>
    </row>
    <row r="245" spans="1:15" ht="18">
      <c r="A245" s="151">
        <v>45432</v>
      </c>
      <c r="B245" s="155">
        <v>18110.599999999999</v>
      </c>
      <c r="C245" s="146">
        <f t="shared" si="17"/>
        <v>-1.5099851753238247E-2</v>
      </c>
      <c r="E245" s="155">
        <v>60.2</v>
      </c>
      <c r="F245" s="146">
        <f t="shared" si="18"/>
        <v>-1.6339869281045805E-2</v>
      </c>
      <c r="G245" s="147"/>
      <c r="H245" s="155">
        <v>33.299999999999997</v>
      </c>
      <c r="I245" s="146">
        <f t="shared" si="13"/>
        <v>1.3081837541831343E-2</v>
      </c>
      <c r="K245" s="72">
        <v>172.26</v>
      </c>
      <c r="L245" s="146">
        <f t="shared" si="14"/>
        <v>-2.3026315789473673E-2</v>
      </c>
      <c r="N245" s="72">
        <v>52.7</v>
      </c>
      <c r="O245" s="146">
        <f t="shared" si="15"/>
        <v>-2.6058029939013072E-2</v>
      </c>
    </row>
    <row r="246" spans="1:15" ht="18">
      <c r="A246" s="151">
        <v>45439</v>
      </c>
      <c r="B246" s="155">
        <v>18083.689999999999</v>
      </c>
      <c r="C246" s="146">
        <f t="shared" si="17"/>
        <v>-1.4858701533908558E-3</v>
      </c>
      <c r="E246" s="155">
        <v>61.1</v>
      </c>
      <c r="F246" s="146">
        <f t="shared" si="18"/>
        <v>1.4950166112956742E-2</v>
      </c>
      <c r="G246" s="147"/>
      <c r="H246" s="155">
        <v>33.36</v>
      </c>
      <c r="I246" s="146">
        <f t="shared" si="13"/>
        <v>1.8018018018017834E-3</v>
      </c>
      <c r="K246" s="72">
        <v>167.33</v>
      </c>
      <c r="L246" s="146">
        <f t="shared" si="14"/>
        <v>-2.8619528619528545E-2</v>
      </c>
      <c r="N246" s="72">
        <v>51.92</v>
      </c>
      <c r="O246" s="146">
        <f t="shared" si="15"/>
        <v>-1.4800759013282705E-2</v>
      </c>
    </row>
    <row r="247" spans="1:15" ht="18">
      <c r="A247" s="151">
        <v>45446</v>
      </c>
      <c r="B247" s="155">
        <v>17985.63</v>
      </c>
      <c r="C247" s="146">
        <f t="shared" si="17"/>
        <v>-5.422565859069528E-3</v>
      </c>
      <c r="E247" s="155">
        <v>62.05</v>
      </c>
      <c r="F247" s="146">
        <f t="shared" si="18"/>
        <v>1.5548281505728179E-2</v>
      </c>
      <c r="G247" s="147"/>
      <c r="H247" s="155">
        <v>33.729999999999997</v>
      </c>
      <c r="I247" s="146">
        <f t="shared" si="13"/>
        <v>1.1091127098321163E-2</v>
      </c>
      <c r="K247" s="72">
        <v>165.53</v>
      </c>
      <c r="L247" s="146">
        <f t="shared" si="14"/>
        <v>-1.0757186398135499E-2</v>
      </c>
      <c r="N247" s="72">
        <v>52.69</v>
      </c>
      <c r="O247" s="146">
        <f t="shared" si="15"/>
        <v>1.4830508474576121E-2</v>
      </c>
    </row>
    <row r="248" spans="1:15" ht="18">
      <c r="A248" s="151">
        <v>45453</v>
      </c>
      <c r="B248" s="155">
        <v>17817.259999999998</v>
      </c>
      <c r="C248" s="146">
        <f t="shared" si="17"/>
        <v>-9.361362376519633E-3</v>
      </c>
      <c r="E248" s="155">
        <v>60.73</v>
      </c>
      <c r="F248" s="146">
        <f t="shared" si="18"/>
        <v>-2.1273166800966914E-2</v>
      </c>
      <c r="G248" s="147"/>
      <c r="H248" s="155">
        <v>33.15</v>
      </c>
      <c r="I248" s="146">
        <f t="shared" si="13"/>
        <v>-1.7195375037058924E-2</v>
      </c>
      <c r="K248" s="72">
        <v>159.79</v>
      </c>
      <c r="L248" s="146">
        <f t="shared" si="14"/>
        <v>-3.4676493686945031E-2</v>
      </c>
      <c r="N248" s="72">
        <v>48.03</v>
      </c>
      <c r="O248" s="146">
        <f t="shared" si="15"/>
        <v>-8.8441829569178121E-2</v>
      </c>
    </row>
    <row r="249" spans="1:15" ht="18">
      <c r="A249" s="151">
        <v>45460</v>
      </c>
      <c r="B249" s="155">
        <v>17995.689999999999</v>
      </c>
      <c r="C249" s="146">
        <f t="shared" si="17"/>
        <v>1.0014446665761234E-2</v>
      </c>
      <c r="E249" s="155">
        <v>61.42</v>
      </c>
      <c r="F249" s="146">
        <f t="shared" si="18"/>
        <v>1.1361765190186057E-2</v>
      </c>
      <c r="G249" s="147"/>
      <c r="H249" s="155">
        <v>33.479999999999997</v>
      </c>
      <c r="I249" s="146">
        <f t="shared" si="13"/>
        <v>9.9547511312216841E-3</v>
      </c>
      <c r="K249" s="72">
        <v>163.16999999999999</v>
      </c>
      <c r="L249" s="146">
        <f t="shared" si="14"/>
        <v>2.1152763001439423E-2</v>
      </c>
      <c r="N249" s="72">
        <v>49.09</v>
      </c>
      <c r="O249" s="146">
        <f t="shared" si="15"/>
        <v>2.206953987091409E-2</v>
      </c>
    </row>
    <row r="250" spans="1:15" ht="18">
      <c r="A250" s="151">
        <v>45467</v>
      </c>
      <c r="B250" s="155">
        <v>18026.5</v>
      </c>
      <c r="C250" s="146">
        <f t="shared" si="17"/>
        <v>1.7120766139004928E-3</v>
      </c>
      <c r="E250" s="155">
        <v>62.28</v>
      </c>
      <c r="F250" s="146">
        <f t="shared" si="18"/>
        <v>1.4001953760989894E-2</v>
      </c>
      <c r="G250" s="147"/>
      <c r="H250" s="155">
        <v>32.53</v>
      </c>
      <c r="I250" s="146">
        <f t="shared" si="13"/>
        <v>-2.8375149342891204E-2</v>
      </c>
      <c r="K250" s="72">
        <v>160.88</v>
      </c>
      <c r="L250" s="146">
        <f t="shared" si="14"/>
        <v>-1.4034442605871167E-2</v>
      </c>
      <c r="N250" s="72">
        <v>49.95</v>
      </c>
      <c r="O250" s="146">
        <f t="shared" si="15"/>
        <v>1.751884294153605E-2</v>
      </c>
    </row>
    <row r="251" spans="1:15" ht="18">
      <c r="A251" s="151">
        <v>45474</v>
      </c>
      <c r="B251" s="155">
        <v>18098.900000000001</v>
      </c>
      <c r="C251" s="146">
        <f t="shared" si="17"/>
        <v>4.0163093223866131E-3</v>
      </c>
      <c r="E251" s="155">
        <v>62.39</v>
      </c>
      <c r="F251" s="146">
        <f t="shared" si="18"/>
        <v>1.7662170841361569E-3</v>
      </c>
      <c r="G251" s="147"/>
      <c r="H251" s="155">
        <v>32.01</v>
      </c>
      <c r="I251" s="146">
        <f t="shared" si="13"/>
        <v>-1.5985244389794095E-2</v>
      </c>
      <c r="K251" s="72">
        <v>160.35</v>
      </c>
      <c r="L251" s="146">
        <f t="shared" si="14"/>
        <v>-3.2943809050224315E-3</v>
      </c>
      <c r="N251" s="72">
        <v>49.75</v>
      </c>
      <c r="O251" s="146">
        <f t="shared" si="15"/>
        <v>-4.0040040040040248E-3</v>
      </c>
    </row>
    <row r="252" spans="1:15" ht="18">
      <c r="A252" s="151">
        <v>45481</v>
      </c>
      <c r="B252" s="155">
        <v>18505.919999999998</v>
      </c>
      <c r="C252" s="146">
        <f t="shared" si="17"/>
        <v>2.2488659531794575E-2</v>
      </c>
      <c r="E252" s="155">
        <v>62.33</v>
      </c>
      <c r="F252" s="146">
        <f t="shared" si="18"/>
        <v>-9.6169257893896631E-4</v>
      </c>
      <c r="G252" s="147"/>
      <c r="H252" s="155">
        <v>31.97</v>
      </c>
      <c r="I252" s="146">
        <f t="shared" si="13"/>
        <v>-1.2496094970321225E-3</v>
      </c>
      <c r="K252" s="72">
        <v>162.29</v>
      </c>
      <c r="L252" s="146">
        <f t="shared" si="14"/>
        <v>1.2098534455877719E-2</v>
      </c>
      <c r="N252" s="72">
        <v>50.83</v>
      </c>
      <c r="O252" s="146">
        <f t="shared" si="15"/>
        <v>2.1708542713567702E-2</v>
      </c>
    </row>
    <row r="253" spans="1:15" ht="18">
      <c r="A253" s="151">
        <v>45488</v>
      </c>
      <c r="B253" s="155">
        <v>18406.05</v>
      </c>
      <c r="C253" s="146">
        <f t="shared" si="17"/>
        <v>-5.3966514499143026E-3</v>
      </c>
      <c r="E253" s="155">
        <v>63.89</v>
      </c>
      <c r="F253" s="146">
        <f t="shared" si="18"/>
        <v>2.5028076367720198E-2</v>
      </c>
      <c r="G253" s="147"/>
      <c r="H253" s="155">
        <v>32.32</v>
      </c>
      <c r="I253" s="146">
        <f t="shared" ref="I253:I284" si="19">H253/H252-1</f>
        <v>1.094776352830773E-2</v>
      </c>
      <c r="K253" s="72">
        <v>165.2</v>
      </c>
      <c r="L253" s="146">
        <f t="shared" ref="L253:L284" si="20">K253/K252-1</f>
        <v>1.7930864501817689E-2</v>
      </c>
      <c r="N253" s="72">
        <v>50.89</v>
      </c>
      <c r="O253" s="146">
        <f t="shared" ref="O253:O284" si="21">N253/N252-1</f>
        <v>1.1804052724768699E-3</v>
      </c>
    </row>
    <row r="254" spans="1:15" ht="18">
      <c r="A254" s="151">
        <v>45495</v>
      </c>
      <c r="B254" s="155">
        <v>18564.48</v>
      </c>
      <c r="C254" s="146">
        <f t="shared" si="17"/>
        <v>8.6074959048791921E-3</v>
      </c>
      <c r="E254" s="155">
        <v>65.61</v>
      </c>
      <c r="F254" s="146">
        <f t="shared" si="18"/>
        <v>2.6921270934418429E-2</v>
      </c>
      <c r="G254" s="147"/>
      <c r="H254" s="155">
        <v>33.07</v>
      </c>
      <c r="I254" s="146">
        <f t="shared" si="19"/>
        <v>2.3205445544554504E-2</v>
      </c>
      <c r="K254" s="72">
        <v>168.51</v>
      </c>
      <c r="L254" s="146">
        <f t="shared" si="20"/>
        <v>2.0036319612590781E-2</v>
      </c>
      <c r="N254" s="72">
        <v>51</v>
      </c>
      <c r="O254" s="146">
        <f t="shared" si="21"/>
        <v>2.1615248575359569E-3</v>
      </c>
    </row>
    <row r="255" spans="1:15" ht="18">
      <c r="A255" s="151">
        <v>45502</v>
      </c>
      <c r="B255" s="155">
        <v>18162.259999999998</v>
      </c>
      <c r="C255" s="146">
        <f t="shared" si="17"/>
        <v>-2.1666106457062129E-2</v>
      </c>
      <c r="E255" s="155">
        <v>67.84</v>
      </c>
      <c r="F255" s="146">
        <f t="shared" si="18"/>
        <v>3.3988721231519747E-2</v>
      </c>
      <c r="G255" s="147"/>
      <c r="H255" s="155">
        <v>34.369999999999997</v>
      </c>
      <c r="I255" s="146">
        <f t="shared" si="19"/>
        <v>3.9310553371635804E-2</v>
      </c>
      <c r="K255" s="72">
        <v>173.67</v>
      </c>
      <c r="L255" s="146">
        <f t="shared" si="20"/>
        <v>3.0621328111091417E-2</v>
      </c>
      <c r="N255" s="72">
        <v>51.61</v>
      </c>
      <c r="O255" s="146">
        <f t="shared" si="21"/>
        <v>1.1960784313725492E-2</v>
      </c>
    </row>
    <row r="256" spans="1:15" ht="18">
      <c r="A256" s="151">
        <v>45509</v>
      </c>
      <c r="B256" s="155">
        <v>18267.150000000001</v>
      </c>
      <c r="C256" s="146">
        <f t="shared" si="17"/>
        <v>5.7751623421316012E-3</v>
      </c>
      <c r="E256" s="155">
        <v>67.2</v>
      </c>
      <c r="F256" s="146">
        <f t="shared" si="18"/>
        <v>-9.4339622641509413E-3</v>
      </c>
      <c r="G256" s="147"/>
      <c r="H256" s="155">
        <v>33.869999999999997</v>
      </c>
      <c r="I256" s="146">
        <f t="shared" si="19"/>
        <v>-1.4547570555717204E-2</v>
      </c>
      <c r="K256" s="72">
        <v>168.16</v>
      </c>
      <c r="L256" s="146">
        <f t="shared" si="20"/>
        <v>-3.1726838256463386E-2</v>
      </c>
      <c r="N256" s="72">
        <v>46.06</v>
      </c>
      <c r="O256" s="146">
        <f t="shared" si="21"/>
        <v>-0.10753729897306719</v>
      </c>
    </row>
    <row r="257" spans="1:15" ht="18">
      <c r="A257" s="151">
        <v>45516</v>
      </c>
      <c r="B257" s="155">
        <v>18753.77</v>
      </c>
      <c r="C257" s="146">
        <f t="shared" si="17"/>
        <v>2.6639076155831498E-2</v>
      </c>
      <c r="E257" s="155">
        <v>67.69</v>
      </c>
      <c r="F257" s="146">
        <f t="shared" si="18"/>
        <v>7.2916666666666963E-3</v>
      </c>
      <c r="G257" s="147"/>
      <c r="H257" s="155">
        <v>34.68</v>
      </c>
      <c r="I257" s="146">
        <f t="shared" si="19"/>
        <v>2.3914968999114272E-2</v>
      </c>
      <c r="K257" s="72">
        <v>168.38</v>
      </c>
      <c r="L257" s="146">
        <f t="shared" si="20"/>
        <v>1.3082778306374721E-3</v>
      </c>
      <c r="N257" s="72">
        <v>46.74</v>
      </c>
      <c r="O257" s="146">
        <f t="shared" si="21"/>
        <v>1.4763352149370412E-2</v>
      </c>
    </row>
    <row r="258" spans="1:15" ht="18">
      <c r="A258" s="151">
        <v>45523</v>
      </c>
      <c r="B258" s="155">
        <v>19093.48</v>
      </c>
      <c r="C258" s="146">
        <f t="shared" si="17"/>
        <v>1.8114224499927278E-2</v>
      </c>
      <c r="E258" s="155">
        <v>68.290000000000006</v>
      </c>
      <c r="F258" s="146">
        <f t="shared" si="18"/>
        <v>8.8639385433595397E-3</v>
      </c>
      <c r="G258" s="147"/>
      <c r="H258" s="155">
        <v>35.020000000000003</v>
      </c>
      <c r="I258" s="146">
        <f t="shared" si="19"/>
        <v>9.8039215686276382E-3</v>
      </c>
      <c r="K258" s="72">
        <v>171.55</v>
      </c>
      <c r="L258" s="146">
        <f t="shared" si="20"/>
        <v>1.8826463950587957E-2</v>
      </c>
      <c r="N258" s="72">
        <v>46.65</v>
      </c>
      <c r="O258" s="146">
        <f t="shared" si="21"/>
        <v>-1.9255455712452463E-3</v>
      </c>
    </row>
    <row r="259" spans="1:15" ht="18">
      <c r="A259" s="151">
        <v>45530</v>
      </c>
      <c r="B259" s="155">
        <v>19292.23</v>
      </c>
      <c r="C259" s="146">
        <f t="shared" si="17"/>
        <v>1.0409312498297796E-2</v>
      </c>
      <c r="E259" s="155">
        <v>70.91</v>
      </c>
      <c r="F259" s="146">
        <f t="shared" si="18"/>
        <v>3.8365792941865484E-2</v>
      </c>
      <c r="G259" s="147"/>
      <c r="H259" s="155">
        <v>35.880000000000003</v>
      </c>
      <c r="I259" s="146">
        <f t="shared" si="19"/>
        <v>2.4557395773843416E-2</v>
      </c>
      <c r="K259" s="72">
        <v>168.63</v>
      </c>
      <c r="L259" s="146">
        <f t="shared" si="20"/>
        <v>-1.7021276595744816E-2</v>
      </c>
      <c r="N259" s="72">
        <v>47.13</v>
      </c>
      <c r="O259" s="146">
        <f t="shared" si="21"/>
        <v>1.0289389067524191E-2</v>
      </c>
    </row>
    <row r="260" spans="1:15" ht="18">
      <c r="A260" s="151">
        <v>45537</v>
      </c>
      <c r="B260" s="155">
        <v>18663.14</v>
      </c>
      <c r="C260" s="146">
        <f t="shared" si="17"/>
        <v>-3.2608464651312952E-2</v>
      </c>
      <c r="E260" s="155">
        <v>69.61</v>
      </c>
      <c r="F260" s="146">
        <f t="shared" si="18"/>
        <v>-1.8333098293611627E-2</v>
      </c>
      <c r="G260" s="147"/>
      <c r="H260" s="155">
        <v>36.119999999999997</v>
      </c>
      <c r="I260" s="146">
        <f t="shared" si="19"/>
        <v>6.6889632107021146E-3</v>
      </c>
      <c r="K260" s="72">
        <v>172.98</v>
      </c>
      <c r="L260" s="146">
        <f t="shared" si="20"/>
        <v>2.5796121686532558E-2</v>
      </c>
      <c r="N260" s="72">
        <v>48.65</v>
      </c>
      <c r="O260" s="146">
        <f t="shared" si="21"/>
        <v>3.225122002970493E-2</v>
      </c>
    </row>
    <row r="261" spans="1:15" ht="18">
      <c r="A261" s="151">
        <v>45544</v>
      </c>
      <c r="B261" s="155">
        <v>19121.5</v>
      </c>
      <c r="C261" s="146">
        <f t="shared" si="17"/>
        <v>2.4559640017703277E-2</v>
      </c>
      <c r="E261" s="155">
        <v>69.87</v>
      </c>
      <c r="F261" s="146">
        <f t="shared" si="18"/>
        <v>3.7350955322512647E-3</v>
      </c>
      <c r="G261" s="147"/>
      <c r="H261" s="155">
        <v>36.86</v>
      </c>
      <c r="I261" s="146">
        <f t="shared" si="19"/>
        <v>2.048726467331119E-2</v>
      </c>
      <c r="K261" s="72">
        <v>174.32</v>
      </c>
      <c r="L261" s="146">
        <f t="shared" si="20"/>
        <v>7.7465602959880808E-3</v>
      </c>
      <c r="N261" s="72">
        <v>50.83</v>
      </c>
      <c r="O261" s="146">
        <f t="shared" si="21"/>
        <v>4.4809866392600206E-2</v>
      </c>
    </row>
    <row r="262" spans="1:15" ht="18">
      <c r="A262" s="151">
        <v>45551</v>
      </c>
      <c r="B262" s="155">
        <v>19373.740000000002</v>
      </c>
      <c r="C262" s="146">
        <f t="shared" si="17"/>
        <v>1.319143372643361E-2</v>
      </c>
      <c r="E262" s="155">
        <v>70.58</v>
      </c>
      <c r="F262" s="146">
        <f t="shared" si="18"/>
        <v>1.0161728925146551E-2</v>
      </c>
      <c r="G262" s="147"/>
      <c r="H262" s="155">
        <v>36.71</v>
      </c>
      <c r="I262" s="146">
        <f t="shared" si="19"/>
        <v>-4.0694519804665985E-3</v>
      </c>
      <c r="K262" s="72">
        <v>168.25</v>
      </c>
      <c r="L262" s="146">
        <f t="shared" si="20"/>
        <v>-3.482101881597055E-2</v>
      </c>
      <c r="N262" s="72">
        <v>51.18</v>
      </c>
      <c r="O262" s="146">
        <f t="shared" si="21"/>
        <v>6.885697422781778E-3</v>
      </c>
    </row>
    <row r="263" spans="1:15" ht="18">
      <c r="A263" s="151">
        <v>45558</v>
      </c>
      <c r="B263" s="155">
        <v>19501.22</v>
      </c>
      <c r="C263" s="146">
        <f t="shared" si="17"/>
        <v>6.580040818138233E-3</v>
      </c>
      <c r="E263" s="155">
        <v>70.73</v>
      </c>
      <c r="F263" s="146">
        <f t="shared" si="18"/>
        <v>2.1252479455937667E-3</v>
      </c>
      <c r="G263" s="147"/>
      <c r="H263" s="155">
        <v>36.67</v>
      </c>
      <c r="I263" s="146">
        <f t="shared" si="19"/>
        <v>-1.0896213565785295E-3</v>
      </c>
      <c r="K263" s="72">
        <v>167.09</v>
      </c>
      <c r="L263" s="146">
        <f t="shared" si="20"/>
        <v>-6.8945022288261493E-3</v>
      </c>
      <c r="N263" s="72">
        <v>52.46</v>
      </c>
      <c r="O263" s="146">
        <f t="shared" si="21"/>
        <v>2.5009769441187935E-2</v>
      </c>
    </row>
    <row r="264" spans="1:15" ht="18">
      <c r="A264" s="151">
        <v>45565</v>
      </c>
      <c r="B264" s="155">
        <v>19538.68</v>
      </c>
      <c r="C264" s="146">
        <f t="shared" si="17"/>
        <v>1.9209054612991938E-3</v>
      </c>
      <c r="E264" s="155">
        <v>69.13</v>
      </c>
      <c r="F264" s="146">
        <f t="shared" si="18"/>
        <v>-2.2621235684999408E-2</v>
      </c>
      <c r="G264" s="147"/>
      <c r="H264" s="155">
        <v>35.880000000000003</v>
      </c>
      <c r="I264" s="146">
        <f t="shared" si="19"/>
        <v>-2.1543496045813959E-2</v>
      </c>
      <c r="K264" s="72">
        <v>165.09</v>
      </c>
      <c r="L264" s="146">
        <f t="shared" si="20"/>
        <v>-1.1969597223053463E-2</v>
      </c>
      <c r="N264" s="72">
        <v>50.95</v>
      </c>
      <c r="O264" s="146">
        <f t="shared" si="21"/>
        <v>-2.8783835303088035E-2</v>
      </c>
    </row>
    <row r="265" spans="1:15" ht="18">
      <c r="A265" s="151">
        <v>45572</v>
      </c>
      <c r="B265" s="155">
        <v>19711.22</v>
      </c>
      <c r="C265" s="146">
        <f t="shared" si="17"/>
        <v>8.8306886647409044E-3</v>
      </c>
      <c r="E265" s="155">
        <v>68.540000000000006</v>
      </c>
      <c r="F265" s="146">
        <f t="shared" si="18"/>
        <v>-8.5346448719801904E-3</v>
      </c>
      <c r="G265" s="147"/>
      <c r="H265" s="155">
        <v>35.869999999999997</v>
      </c>
      <c r="I265" s="146">
        <f t="shared" si="19"/>
        <v>-2.7870680044606022E-4</v>
      </c>
      <c r="K265" s="72">
        <v>171.82</v>
      </c>
      <c r="L265" s="146">
        <f t="shared" si="20"/>
        <v>4.0765642982615535E-2</v>
      </c>
      <c r="N265" s="72">
        <v>51.31</v>
      </c>
      <c r="O265" s="146">
        <f t="shared" si="21"/>
        <v>7.0657507360156746E-3</v>
      </c>
    </row>
    <row r="266" spans="1:15" ht="18">
      <c r="A266" s="151">
        <v>45579</v>
      </c>
      <c r="B266" s="155">
        <v>19884.810000000001</v>
      </c>
      <c r="C266" s="146">
        <f t="shared" si="17"/>
        <v>8.806659354418489E-3</v>
      </c>
      <c r="E266" s="155">
        <v>69.400000000000006</v>
      </c>
      <c r="F266" s="146">
        <f t="shared" ref="F266:F284" si="22">E266/E265-1</f>
        <v>1.2547417566384667E-2</v>
      </c>
      <c r="G266" s="147"/>
      <c r="H266" s="155">
        <v>36.43</v>
      </c>
      <c r="I266" s="146">
        <f t="shared" si="19"/>
        <v>1.5611931976582172E-2</v>
      </c>
      <c r="K266" s="72">
        <v>172.06</v>
      </c>
      <c r="L266" s="146">
        <f t="shared" si="20"/>
        <v>1.3968106157606908E-3</v>
      </c>
      <c r="N266" s="72">
        <v>54.05</v>
      </c>
      <c r="O266" s="146">
        <f t="shared" si="21"/>
        <v>5.340089651140123E-2</v>
      </c>
    </row>
    <row r="267" spans="1:15" ht="18">
      <c r="A267" s="151">
        <v>45586</v>
      </c>
      <c r="B267" s="155">
        <v>19456.27</v>
      </c>
      <c r="C267" s="146">
        <f t="shared" si="17"/>
        <v>-2.1551123696932573E-2</v>
      </c>
      <c r="E267" s="155">
        <v>65.930000000000007</v>
      </c>
      <c r="F267" s="146">
        <f t="shared" si="22"/>
        <v>-4.9999999999999933E-2</v>
      </c>
      <c r="G267" s="147"/>
      <c r="H267" s="155">
        <v>34.1</v>
      </c>
      <c r="I267" s="146">
        <f t="shared" si="19"/>
        <v>-6.3958276146033444E-2</v>
      </c>
      <c r="K267" s="72">
        <v>168.85</v>
      </c>
      <c r="L267" s="146">
        <f t="shared" si="20"/>
        <v>-1.8656282692084192E-2</v>
      </c>
      <c r="N267" s="72">
        <v>53.37</v>
      </c>
      <c r="O267" s="146">
        <f t="shared" si="21"/>
        <v>-1.2580943570767777E-2</v>
      </c>
    </row>
    <row r="268" spans="1:15" ht="18">
      <c r="A268" s="151">
        <v>45593</v>
      </c>
      <c r="B268" s="155">
        <v>19253.54</v>
      </c>
      <c r="C268" s="146">
        <f t="shared" si="17"/>
        <v>-1.0419777274883635E-2</v>
      </c>
      <c r="E268" s="155">
        <v>64.05</v>
      </c>
      <c r="F268" s="146">
        <f t="shared" si="22"/>
        <v>-2.8515091763992251E-2</v>
      </c>
      <c r="G268" s="147"/>
      <c r="H268" s="155">
        <v>32.36</v>
      </c>
      <c r="I268" s="146">
        <f t="shared" si="19"/>
        <v>-5.1026392961876943E-2</v>
      </c>
      <c r="K268" s="72">
        <v>162.75</v>
      </c>
      <c r="L268" s="146">
        <f t="shared" si="20"/>
        <v>-3.6126739709801514E-2</v>
      </c>
      <c r="N268" s="72">
        <v>52.3</v>
      </c>
      <c r="O268" s="146">
        <f t="shared" si="21"/>
        <v>-2.0048716507401143E-2</v>
      </c>
    </row>
    <row r="269" spans="1:15" ht="18">
      <c r="A269" s="151">
        <v>45600</v>
      </c>
      <c r="B269" s="155">
        <v>19937.13</v>
      </c>
      <c r="C269" s="146">
        <f t="shared" si="17"/>
        <v>3.5504639666263937E-2</v>
      </c>
      <c r="E269" s="155">
        <v>62.97</v>
      </c>
      <c r="F269" s="146">
        <f t="shared" si="22"/>
        <v>-1.6861826697892268E-2</v>
      </c>
      <c r="G269" s="147"/>
      <c r="H269" s="155">
        <v>32.42</v>
      </c>
      <c r="I269" s="146">
        <f t="shared" si="19"/>
        <v>1.8541409147094789E-3</v>
      </c>
      <c r="K269" s="72">
        <v>162.28</v>
      </c>
      <c r="L269" s="146">
        <f t="shared" si="20"/>
        <v>-2.8878648233486848E-3</v>
      </c>
      <c r="N269" s="72">
        <v>54.14</v>
      </c>
      <c r="O269" s="146">
        <f t="shared" si="21"/>
        <v>3.5181644359464803E-2</v>
      </c>
    </row>
    <row r="270" spans="1:15" ht="18">
      <c r="A270" s="151">
        <v>45607</v>
      </c>
      <c r="B270" s="155">
        <v>19645.77</v>
      </c>
      <c r="C270" s="146">
        <f t="shared" si="17"/>
        <v>-1.4613938916985592E-2</v>
      </c>
      <c r="E270" s="155">
        <v>60.83</v>
      </c>
      <c r="F270" s="146">
        <f t="shared" si="22"/>
        <v>-3.3984437033508064E-2</v>
      </c>
      <c r="G270" s="147"/>
      <c r="H270" s="155">
        <v>31.22</v>
      </c>
      <c r="I270" s="146">
        <f t="shared" si="19"/>
        <v>-3.7014188772362844E-2</v>
      </c>
      <c r="K270" s="72">
        <v>155.9</v>
      </c>
      <c r="L270" s="146">
        <f t="shared" si="20"/>
        <v>-3.9314764604387431E-2</v>
      </c>
      <c r="N270" s="72">
        <v>52</v>
      </c>
      <c r="O270" s="146">
        <f t="shared" si="21"/>
        <v>-3.9527151828592566E-2</v>
      </c>
    </row>
    <row r="271" spans="1:15" ht="18">
      <c r="A271" s="151">
        <v>45614</v>
      </c>
      <c r="B271" s="155">
        <v>20123.45</v>
      </c>
      <c r="C271" s="146">
        <f t="shared" si="17"/>
        <v>2.4314648904064429E-2</v>
      </c>
      <c r="E271" s="155">
        <v>62.97</v>
      </c>
      <c r="F271" s="146">
        <f t="shared" si="22"/>
        <v>3.5180009863554185E-2</v>
      </c>
      <c r="G271" s="147"/>
      <c r="H271" s="155">
        <v>32.21</v>
      </c>
      <c r="I271" s="146">
        <f t="shared" si="19"/>
        <v>3.1710442024343477E-2</v>
      </c>
      <c r="K271" s="72">
        <v>159.22</v>
      </c>
      <c r="L271" s="146">
        <f t="shared" si="20"/>
        <v>2.1295702373316239E-2</v>
      </c>
      <c r="N271" s="72">
        <v>54.06</v>
      </c>
      <c r="O271" s="146">
        <f t="shared" si="21"/>
        <v>3.9615384615384608E-2</v>
      </c>
    </row>
    <row r="272" spans="1:15" ht="18">
      <c r="A272" s="151">
        <v>45621</v>
      </c>
      <c r="B272" s="155">
        <v>20272.04</v>
      </c>
      <c r="C272" s="146">
        <f t="shared" si="17"/>
        <v>7.3839227369063565E-3</v>
      </c>
      <c r="E272" s="155">
        <v>63.13</v>
      </c>
      <c r="F272" s="146">
        <f t="shared" si="22"/>
        <v>2.5408924884866568E-3</v>
      </c>
      <c r="G272" s="147"/>
      <c r="H272" s="155">
        <v>32.200000000000003</v>
      </c>
      <c r="I272" s="146">
        <f t="shared" si="19"/>
        <v>-3.1046258925793158E-4</v>
      </c>
      <c r="K272" s="72">
        <v>160.65</v>
      </c>
      <c r="L272" s="146">
        <f t="shared" si="20"/>
        <v>8.9812837583218563E-3</v>
      </c>
      <c r="N272" s="72">
        <v>55.13</v>
      </c>
      <c r="O272" s="146">
        <f t="shared" si="21"/>
        <v>1.9792822789493236E-2</v>
      </c>
    </row>
    <row r="273" spans="1:15" ht="18">
      <c r="A273" s="151">
        <v>45628</v>
      </c>
      <c r="B273" s="155">
        <v>20107.79</v>
      </c>
      <c r="C273" s="146">
        <f t="shared" si="17"/>
        <v>-8.1022926158393904E-3</v>
      </c>
      <c r="E273" s="155">
        <v>62.07</v>
      </c>
      <c r="F273" s="146">
        <f t="shared" si="22"/>
        <v>-1.6790749247584391E-2</v>
      </c>
      <c r="G273" s="147"/>
      <c r="H273" s="155">
        <v>32.26</v>
      </c>
      <c r="I273" s="146">
        <f t="shared" si="19"/>
        <v>1.8633540372670065E-3</v>
      </c>
      <c r="K273" s="72">
        <v>155.09</v>
      </c>
      <c r="L273" s="146">
        <f t="shared" si="20"/>
        <v>-3.460939931528173E-2</v>
      </c>
      <c r="N273" s="72">
        <v>52.27</v>
      </c>
      <c r="O273" s="146">
        <f t="shared" si="21"/>
        <v>-5.1877380736441103E-2</v>
      </c>
    </row>
    <row r="274" spans="1:15" ht="18">
      <c r="A274" s="151">
        <v>45635</v>
      </c>
      <c r="B274" s="155">
        <v>19729.37</v>
      </c>
      <c r="C274" s="146">
        <f t="shared" si="17"/>
        <v>-1.8819571917152556E-2</v>
      </c>
      <c r="E274" s="155">
        <v>62.66</v>
      </c>
      <c r="F274" s="146">
        <f t="shared" si="22"/>
        <v>9.5053971322700548E-3</v>
      </c>
      <c r="G274" s="147"/>
      <c r="H274" s="155">
        <v>33.08</v>
      </c>
      <c r="I274" s="146">
        <f t="shared" si="19"/>
        <v>2.5418474891506504E-2</v>
      </c>
      <c r="K274" s="72">
        <v>156.59</v>
      </c>
      <c r="L274" s="146">
        <f t="shared" si="20"/>
        <v>9.671803468953577E-3</v>
      </c>
      <c r="N274" s="72">
        <v>52.76</v>
      </c>
      <c r="O274" s="146">
        <f t="shared" si="21"/>
        <v>9.3744021427204505E-3</v>
      </c>
    </row>
    <row r="275" spans="1:15">
      <c r="A275" s="151">
        <v>45642</v>
      </c>
      <c r="B275" s="155">
        <v>19119.439999999999</v>
      </c>
      <c r="C275" s="146">
        <f t="shared" si="17"/>
        <v>-3.0914823940146108E-2</v>
      </c>
      <c r="E275" s="155">
        <v>62.09</v>
      </c>
      <c r="F275" s="146">
        <f t="shared" si="22"/>
        <v>-9.0967124162143476E-3</v>
      </c>
      <c r="H275" s="155">
        <v>31.92</v>
      </c>
      <c r="I275" s="146">
        <f t="shared" si="19"/>
        <v>-3.5066505441354145E-2</v>
      </c>
      <c r="K275" s="72">
        <v>151.44999999999999</v>
      </c>
      <c r="L275" s="146">
        <f t="shared" si="20"/>
        <v>-3.2824573727568862E-2</v>
      </c>
      <c r="N275" s="72">
        <v>51.72</v>
      </c>
      <c r="O275" s="146">
        <f t="shared" si="21"/>
        <v>-1.9711902956785377E-2</v>
      </c>
    </row>
    <row r="276" spans="1:15">
      <c r="A276" s="151">
        <v>45649</v>
      </c>
      <c r="B276" s="155">
        <v>19238.48</v>
      </c>
      <c r="C276" s="146">
        <f t="shared" si="17"/>
        <v>6.2261237776839451E-3</v>
      </c>
      <c r="E276" s="155">
        <v>61.99</v>
      </c>
      <c r="F276" s="146">
        <f t="shared" si="22"/>
        <v>-1.6105653084232951E-3</v>
      </c>
      <c r="H276" s="155">
        <v>31.82</v>
      </c>
      <c r="I276" s="146">
        <f t="shared" si="19"/>
        <v>-3.1328320802005427E-3</v>
      </c>
      <c r="K276" s="72">
        <v>151.55000000000001</v>
      </c>
      <c r="L276" s="146">
        <f t="shared" si="20"/>
        <v>6.6028392208661302E-4</v>
      </c>
      <c r="N276" s="72">
        <v>52.55</v>
      </c>
      <c r="O276" s="146">
        <f t="shared" si="21"/>
        <v>1.6047950502706909E-2</v>
      </c>
    </row>
    <row r="277" spans="1:15">
      <c r="A277" s="151">
        <v>45656</v>
      </c>
      <c r="B277" s="155">
        <v>19254.29</v>
      </c>
      <c r="C277" s="146">
        <f t="shared" si="17"/>
        <v>8.2179049488328992E-4</v>
      </c>
      <c r="E277" s="155">
        <v>61.3</v>
      </c>
      <c r="F277" s="146">
        <f t="shared" si="22"/>
        <v>-1.1130827552831124E-2</v>
      </c>
      <c r="H277" s="155">
        <v>31.1</v>
      </c>
      <c r="I277" s="146">
        <f t="shared" si="19"/>
        <v>-2.2627278441231913E-2</v>
      </c>
      <c r="K277" s="72">
        <v>148.34</v>
      </c>
      <c r="L277" s="146">
        <f t="shared" si="20"/>
        <v>-2.1181128340481692E-2</v>
      </c>
      <c r="N277" s="72">
        <v>52.39</v>
      </c>
      <c r="O277" s="146">
        <f t="shared" si="21"/>
        <v>-3.0447193149381047E-3</v>
      </c>
    </row>
    <row r="278" spans="1:15">
      <c r="A278" s="151">
        <v>45663</v>
      </c>
      <c r="B278" s="155">
        <v>18963.009999999998</v>
      </c>
      <c r="C278" s="146">
        <f t="shared" si="17"/>
        <v>-1.5128057175829546E-2</v>
      </c>
      <c r="E278" s="155">
        <v>60.62</v>
      </c>
      <c r="F278" s="146">
        <f t="shared" si="22"/>
        <v>-1.1092985318107651E-2</v>
      </c>
      <c r="H278" s="155">
        <v>30.18</v>
      </c>
      <c r="I278" s="146">
        <f t="shared" si="19"/>
        <v>-2.9581993569131937E-2</v>
      </c>
      <c r="K278" s="72">
        <v>141.38999999999999</v>
      </c>
      <c r="L278" s="146">
        <f t="shared" si="20"/>
        <v>-4.6851826884185099E-2</v>
      </c>
      <c r="N278" s="72">
        <v>49.74</v>
      </c>
      <c r="O278" s="146">
        <f t="shared" si="21"/>
        <v>-5.0582172170261508E-2</v>
      </c>
    </row>
    <row r="279" spans="1:15">
      <c r="A279" s="151">
        <v>45670</v>
      </c>
      <c r="B279" s="155">
        <v>19607.37</v>
      </c>
      <c r="C279" s="146">
        <f t="shared" si="17"/>
        <v>3.3979837589074746E-2</v>
      </c>
      <c r="E279" s="155">
        <v>62.25</v>
      </c>
      <c r="F279" s="146">
        <f t="shared" si="22"/>
        <v>2.688881557241829E-2</v>
      </c>
      <c r="H279" s="155">
        <v>31.41</v>
      </c>
      <c r="I279" s="146">
        <f t="shared" si="19"/>
        <v>4.0755467196819106E-2</v>
      </c>
      <c r="K279" s="72">
        <v>146.94999999999999</v>
      </c>
      <c r="L279" s="146">
        <f t="shared" si="20"/>
        <v>3.9323856001131752E-2</v>
      </c>
      <c r="N279" s="72">
        <v>49.42</v>
      </c>
      <c r="O279" s="146">
        <f t="shared" si="21"/>
        <v>-6.4334539605951369E-3</v>
      </c>
    </row>
    <row r="280" spans="1:15">
      <c r="A280" s="151">
        <v>45677</v>
      </c>
      <c r="B280" s="155">
        <v>19997.47</v>
      </c>
      <c r="C280" s="146">
        <f t="shared" si="17"/>
        <v>1.989558008034753E-2</v>
      </c>
      <c r="E280" s="155">
        <v>61.47</v>
      </c>
      <c r="F280" s="146">
        <f t="shared" si="22"/>
        <v>-1.2530120481927698E-2</v>
      </c>
      <c r="H280" s="155">
        <v>30.94</v>
      </c>
      <c r="I280" s="146">
        <f t="shared" si="19"/>
        <v>-1.4963387456224053E-2</v>
      </c>
      <c r="K280" s="72">
        <v>147.81</v>
      </c>
      <c r="L280" s="146">
        <f t="shared" si="20"/>
        <v>5.8523307247364542E-3</v>
      </c>
      <c r="N280" s="72">
        <v>48.28</v>
      </c>
      <c r="O280" s="146">
        <f t="shared" si="21"/>
        <v>-2.3067583974099581E-2</v>
      </c>
    </row>
    <row r="281" spans="1:15">
      <c r="A281" s="151">
        <v>45684</v>
      </c>
      <c r="B281" s="155">
        <v>19998.82</v>
      </c>
      <c r="C281" s="146">
        <f t="shared" si="17"/>
        <v>6.7508539830285486E-5</v>
      </c>
      <c r="E281" s="155">
        <v>63.01</v>
      </c>
      <c r="F281" s="146">
        <f t="shared" si="22"/>
        <v>2.5052871319342751E-2</v>
      </c>
      <c r="H281" s="155">
        <v>31.88</v>
      </c>
      <c r="I281" s="146">
        <f t="shared" si="19"/>
        <v>3.0381383322559685E-2</v>
      </c>
      <c r="K281" s="72">
        <v>149.37</v>
      </c>
      <c r="L281" s="146">
        <f t="shared" si="20"/>
        <v>1.055408970976246E-2</v>
      </c>
      <c r="N281" s="72">
        <v>48.71</v>
      </c>
      <c r="O281" s="146">
        <f t="shared" si="21"/>
        <v>8.9063794531896168E-3</v>
      </c>
    </row>
    <row r="282" spans="1:15">
      <c r="A282" s="151">
        <v>45691</v>
      </c>
      <c r="B282" s="155">
        <v>20039.48</v>
      </c>
      <c r="C282" s="146">
        <f t="shared" si="17"/>
        <v>2.0331199540772893E-3</v>
      </c>
      <c r="E282" s="155">
        <v>63.37</v>
      </c>
      <c r="F282" s="146">
        <f t="shared" si="22"/>
        <v>5.7133788287573317E-3</v>
      </c>
      <c r="H282" s="72">
        <v>30.83</v>
      </c>
      <c r="I282" s="146">
        <f t="shared" si="19"/>
        <v>-3.2936010037641128E-2</v>
      </c>
      <c r="K282" s="72">
        <v>143.31</v>
      </c>
      <c r="L282" s="146">
        <f t="shared" si="20"/>
        <v>-4.0570395661779446E-2</v>
      </c>
      <c r="N282" s="72">
        <v>46.57</v>
      </c>
      <c r="O282" s="146">
        <f t="shared" si="21"/>
        <v>-4.3933483884212698E-2</v>
      </c>
    </row>
    <row r="283" spans="1:15">
      <c r="A283" s="151">
        <v>45698</v>
      </c>
      <c r="B283" s="155">
        <v>20130.490000000002</v>
      </c>
      <c r="C283" s="146">
        <f t="shared" si="17"/>
        <v>4.5415350098905183E-3</v>
      </c>
      <c r="E283" s="155">
        <v>68.37</v>
      </c>
      <c r="F283" s="146">
        <f t="shared" si="22"/>
        <v>7.8901688496133993E-2</v>
      </c>
      <c r="H283" s="72">
        <v>31.44</v>
      </c>
      <c r="I283" s="146">
        <f t="shared" si="19"/>
        <v>1.9785922802465272E-2</v>
      </c>
      <c r="K283" s="72">
        <v>142.13</v>
      </c>
      <c r="L283" s="146">
        <f t="shared" si="20"/>
        <v>-8.2338985416231525E-3</v>
      </c>
      <c r="N283" s="72">
        <v>49.25</v>
      </c>
      <c r="O283" s="146">
        <f t="shared" si="21"/>
        <v>5.7547777539188383E-2</v>
      </c>
    </row>
    <row r="284" spans="1:15" ht="16" thickBot="1">
      <c r="A284" s="152">
        <v>45705</v>
      </c>
      <c r="B284" s="156">
        <v>20228.2</v>
      </c>
      <c r="C284" s="149">
        <f t="shared" si="17"/>
        <v>4.8538311784760424E-3</v>
      </c>
      <c r="D284" s="148"/>
      <c r="E284" s="156">
        <v>69.56</v>
      </c>
      <c r="F284" s="149">
        <f t="shared" si="22"/>
        <v>1.7405294719906372E-2</v>
      </c>
      <c r="G284" s="148"/>
      <c r="H284" s="105">
        <v>32.56</v>
      </c>
      <c r="I284" s="149">
        <f t="shared" si="19"/>
        <v>3.5623409669211181E-2</v>
      </c>
      <c r="J284" s="148"/>
      <c r="K284" s="105">
        <v>144.53</v>
      </c>
      <c r="L284" s="149">
        <f t="shared" si="20"/>
        <v>1.6885949482867924E-2</v>
      </c>
      <c r="M284" s="148"/>
      <c r="N284" s="105">
        <v>51.69</v>
      </c>
      <c r="O284" s="149">
        <f t="shared" si="21"/>
        <v>4.9543147208121807E-2</v>
      </c>
    </row>
    <row r="327" spans="1:15">
      <c r="A327" s="67"/>
      <c r="F327" s="52"/>
      <c r="O327" s="52"/>
    </row>
    <row r="328" spans="1:15">
      <c r="F328" s="52"/>
      <c r="O328" s="52"/>
    </row>
    <row r="329" spans="1:15">
      <c r="F329" s="52"/>
      <c r="O329" s="52"/>
    </row>
    <row r="330" spans="1:15">
      <c r="F330" s="52"/>
      <c r="O330" s="52"/>
    </row>
    <row r="331" spans="1:15">
      <c r="F331" s="52"/>
      <c r="O331" s="52"/>
    </row>
    <row r="332" spans="1:15">
      <c r="F332" s="52"/>
      <c r="O332" s="52"/>
    </row>
    <row r="333" spans="1:15">
      <c r="F333" s="52"/>
      <c r="O333" s="52"/>
    </row>
    <row r="334" spans="1:15">
      <c r="F334" s="52"/>
      <c r="O334" s="52"/>
    </row>
    <row r="335" spans="1:15">
      <c r="F335" s="52"/>
      <c r="O335" s="52"/>
    </row>
    <row r="336" spans="1:15">
      <c r="F336" s="52"/>
      <c r="O336" s="52"/>
    </row>
    <row r="337" spans="15:15">
      <c r="O337" s="52"/>
    </row>
  </sheetData>
  <sortState xmlns:xlrd2="http://schemas.microsoft.com/office/spreadsheetml/2017/richdata2" ref="R18:S68">
    <sortCondition ref="S18:S68"/>
  </sortState>
  <mergeCells count="2">
    <mergeCell ref="A2:A3"/>
    <mergeCell ref="B2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02FE-7C11-D743-8899-4387FF339954}">
  <sheetPr>
    <tabColor theme="9" tint="0.39997558519241921"/>
  </sheetPr>
  <dimension ref="A1:B23"/>
  <sheetViews>
    <sheetView showGridLines="0" zoomScaleNormal="100" workbookViewId="0">
      <selection activeCell="B23" sqref="B23"/>
    </sheetView>
  </sheetViews>
  <sheetFormatPr baseColWidth="10" defaultRowHeight="15"/>
  <cols>
    <col min="1" max="1" width="36.1640625" customWidth="1"/>
    <col min="2" max="2" width="20.1640625" bestFit="1" customWidth="1"/>
  </cols>
  <sheetData>
    <row r="1" spans="1:2" ht="50" customHeight="1">
      <c r="A1" s="194"/>
      <c r="B1" s="194"/>
    </row>
    <row r="2" spans="1:2">
      <c r="A2" s="326" t="s">
        <v>1</v>
      </c>
      <c r="B2" s="88"/>
    </row>
    <row r="3" spans="1:2">
      <c r="A3" s="326"/>
      <c r="B3" s="88" t="s">
        <v>2</v>
      </c>
    </row>
    <row r="4" spans="1:2">
      <c r="A4" s="128"/>
      <c r="B4" s="196"/>
    </row>
    <row r="5" spans="1:2">
      <c r="A5" s="128" t="s">
        <v>192</v>
      </c>
      <c r="B5" s="197"/>
    </row>
    <row r="6" spans="1:2">
      <c r="A6" s="128" t="s">
        <v>193</v>
      </c>
      <c r="B6" s="198">
        <f>'Cost of equity'!B14</f>
        <v>0.27</v>
      </c>
    </row>
    <row r="7" spans="1:2">
      <c r="A7" s="128" t="s">
        <v>194</v>
      </c>
      <c r="B7" s="197"/>
    </row>
    <row r="8" spans="1:2">
      <c r="A8" s="79" t="s">
        <v>195</v>
      </c>
      <c r="B8" s="79"/>
    </row>
    <row r="9" spans="1:2">
      <c r="A9" s="79" t="s">
        <v>196</v>
      </c>
      <c r="B9" s="79">
        <v>100</v>
      </c>
    </row>
    <row r="10" spans="1:2">
      <c r="A10" s="79" t="s">
        <v>197</v>
      </c>
      <c r="B10" s="79">
        <v>123.605</v>
      </c>
    </row>
    <row r="11" spans="1:2">
      <c r="A11" s="79" t="s">
        <v>198</v>
      </c>
      <c r="B11" s="199">
        <v>70704</v>
      </c>
    </row>
    <row r="12" spans="1:2">
      <c r="A12" s="79" t="s">
        <v>199</v>
      </c>
      <c r="B12" s="199">
        <v>45708</v>
      </c>
    </row>
    <row r="13" spans="1:2">
      <c r="A13" s="79" t="s">
        <v>200</v>
      </c>
      <c r="B13" s="200">
        <f>YEARFRAC(B11,B12,0)</f>
        <v>68.441666666666663</v>
      </c>
    </row>
    <row r="14" spans="1:2">
      <c r="A14" s="79" t="s">
        <v>201</v>
      </c>
      <c r="B14" s="201">
        <v>7.3749999999999996E-2</v>
      </c>
    </row>
    <row r="15" spans="1:2">
      <c r="A15" s="79" t="s">
        <v>202</v>
      </c>
      <c r="B15" s="79">
        <f>B14*B9</f>
        <v>7.375</v>
      </c>
    </row>
    <row r="16" spans="1:2">
      <c r="A16" s="79" t="s">
        <v>203</v>
      </c>
      <c r="B16" s="202">
        <f>RATE(B13,B15,-B10,B9,0)</f>
        <v>5.9443472292660636E-2</v>
      </c>
    </row>
    <row r="17" spans="1:2">
      <c r="A17" s="128" t="s">
        <v>204</v>
      </c>
      <c r="B17" s="203">
        <f>B16*(1-$B$6)</f>
        <v>4.3393734773642265E-2</v>
      </c>
    </row>
    <row r="18" spans="1:2">
      <c r="A18" s="79"/>
      <c r="B18" s="79"/>
    </row>
    <row r="19" spans="1:2">
      <c r="A19" s="128" t="s">
        <v>205</v>
      </c>
      <c r="B19" s="79"/>
    </row>
    <row r="20" spans="1:2">
      <c r="A20" s="79" t="s">
        <v>206</v>
      </c>
      <c r="B20" s="201">
        <f>'Cost of equity'!B6</f>
        <v>4.5060000000000003E-2</v>
      </c>
    </row>
    <row r="21" spans="1:2">
      <c r="A21" s="79" t="s">
        <v>207</v>
      </c>
      <c r="B21" s="201">
        <v>7.7000000000000002E-3</v>
      </c>
    </row>
    <row r="22" spans="1:2">
      <c r="A22" s="79" t="s">
        <v>203</v>
      </c>
      <c r="B22" s="201">
        <f>B20+B21</f>
        <v>5.2760000000000001E-2</v>
      </c>
    </row>
    <row r="23" spans="1:2">
      <c r="A23" s="128" t="s">
        <v>204</v>
      </c>
      <c r="B23" s="203">
        <f>B22*(1-$B$6)</f>
        <v>3.8514800000000002E-2</v>
      </c>
    </row>
  </sheetData>
  <mergeCells count="1">
    <mergeCell ref="A2:A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2E9D-1C1F-4B1B-8255-2896B60F84D6}">
  <sheetPr>
    <tabColor theme="9" tint="0.39997558519241921"/>
  </sheetPr>
  <dimension ref="A1:H40"/>
  <sheetViews>
    <sheetView showGridLines="0" zoomScale="80" zoomScaleNormal="80" workbookViewId="0">
      <selection activeCell="I8" sqref="I8"/>
    </sheetView>
  </sheetViews>
  <sheetFormatPr baseColWidth="10" defaultColWidth="8.83203125" defaultRowHeight="15"/>
  <cols>
    <col min="1" max="1" width="42.5" customWidth="1"/>
    <col min="2" max="2" width="11.5" style="4" customWidth="1"/>
    <col min="3" max="7" width="11.5" style="5" customWidth="1"/>
    <col min="8" max="8" width="11.5" customWidth="1"/>
    <col min="9" max="9" width="10" customWidth="1"/>
  </cols>
  <sheetData>
    <row r="1" spans="1:8" ht="50" customHeight="1" thickBot="1">
      <c r="A1" s="79"/>
      <c r="B1" s="197"/>
      <c r="C1" s="79"/>
      <c r="D1" s="79"/>
      <c r="E1" s="79" t="s">
        <v>70</v>
      </c>
      <c r="F1" s="79"/>
      <c r="G1" s="79"/>
    </row>
    <row r="2" spans="1:8">
      <c r="A2" s="327" t="s">
        <v>1</v>
      </c>
      <c r="B2" s="204"/>
      <c r="C2" s="327" t="s">
        <v>3</v>
      </c>
      <c r="D2" s="328"/>
      <c r="E2" s="328"/>
      <c r="F2" s="328"/>
      <c r="G2" s="329"/>
    </row>
    <row r="3" spans="1:8" ht="16" thickBot="1">
      <c r="A3" s="330"/>
      <c r="B3" s="217" t="s">
        <v>2</v>
      </c>
      <c r="C3" s="205">
        <v>2025</v>
      </c>
      <c r="D3" s="206">
        <f>C3+1</f>
        <v>2026</v>
      </c>
      <c r="E3" s="206">
        <f t="shared" ref="E3:G3" si="0">D3+1</f>
        <v>2027</v>
      </c>
      <c r="F3" s="206">
        <f t="shared" si="0"/>
        <v>2028</v>
      </c>
      <c r="G3" s="207">
        <f t="shared" si="0"/>
        <v>2029</v>
      </c>
    </row>
    <row r="4" spans="1:8">
      <c r="A4" s="187"/>
      <c r="B4" s="189" t="s">
        <v>69</v>
      </c>
      <c r="C4" s="208"/>
      <c r="D4" s="208"/>
      <c r="E4" s="208"/>
      <c r="F4" s="208"/>
      <c r="G4" s="209"/>
      <c r="H4" s="2"/>
    </row>
    <row r="5" spans="1:8">
      <c r="A5" s="210" t="s">
        <v>95</v>
      </c>
      <c r="C5" s="11"/>
      <c r="D5" s="11"/>
      <c r="E5" s="11"/>
      <c r="F5" s="11"/>
      <c r="G5" s="211"/>
    </row>
    <row r="6" spans="1:8">
      <c r="A6" s="72" t="s">
        <v>98</v>
      </c>
      <c r="C6" s="13">
        <f ca="1">'P&amp;L'!H38</f>
        <v>13370.592805113278</v>
      </c>
      <c r="D6" s="13">
        <f ca="1">'P&amp;L'!I38</f>
        <v>14978.656682998771</v>
      </c>
      <c r="E6" s="13">
        <f ca="1">'P&amp;L'!J38</f>
        <v>16915.182032118275</v>
      </c>
      <c r="F6" s="13">
        <f ca="1">'P&amp;L'!K38</f>
        <v>18977.199510943366</v>
      </c>
      <c r="G6" s="212">
        <f ca="1">'P&amp;L'!L38</f>
        <v>21064.863080870837</v>
      </c>
    </row>
    <row r="7" spans="1:8">
      <c r="A7" s="72" t="s">
        <v>101</v>
      </c>
      <c r="C7" s="13"/>
      <c r="D7" s="13"/>
      <c r="E7" s="13"/>
      <c r="F7" s="13"/>
      <c r="G7" s="212"/>
    </row>
    <row r="8" spans="1:8">
      <c r="A8" s="72" t="s">
        <v>35</v>
      </c>
      <c r="C8" s="13">
        <f ca="1">'P&amp;L'!H57</f>
        <v>1122.3583708970141</v>
      </c>
      <c r="D8" s="13">
        <f ca="1">'P&amp;L'!I57</f>
        <v>1187.1028266247458</v>
      </c>
      <c r="E8" s="13">
        <f ca="1">'P&amp;L'!J57</f>
        <v>1246.7464693216571</v>
      </c>
      <c r="F8" s="13">
        <f ca="1">'P&amp;L'!K57</f>
        <v>1316.6385013821928</v>
      </c>
      <c r="G8" s="212">
        <f>'P&amp;L'!L57</f>
        <v>1327.9670887950651</v>
      </c>
    </row>
    <row r="9" spans="1:8">
      <c r="A9" s="72" t="s">
        <v>100</v>
      </c>
      <c r="C9" s="11">
        <f>'P&amp;L'!H26</f>
        <v>1560.4485712595588</v>
      </c>
      <c r="D9" s="11">
        <f ca="1">'P&amp;L'!I26</f>
        <v>1290.1200593461392</v>
      </c>
      <c r="E9" s="11">
        <f ca="1">'P&amp;L'!J26</f>
        <v>1185.3863260143937</v>
      </c>
      <c r="F9" s="11">
        <f ca="1">'P&amp;L'!K26</f>
        <v>1058.9703806910727</v>
      </c>
      <c r="G9" s="211">
        <f ca="1">'P&amp;L'!L26</f>
        <v>887.43925709858013</v>
      </c>
    </row>
    <row r="10" spans="1:8">
      <c r="A10" s="72" t="s">
        <v>19</v>
      </c>
      <c r="C10" s="11">
        <f ca="1">-'P&amp;L'!H23</f>
        <v>-696.82510069760349</v>
      </c>
      <c r="D10" s="11">
        <f ca="1">-'P&amp;L'!I23</f>
        <v>-464.12854723602612</v>
      </c>
      <c r="E10" s="11">
        <f ca="1">-'P&amp;L'!J23</f>
        <v>-755.93948364467292</v>
      </c>
      <c r="F10" s="11">
        <f ca="1">-'P&amp;L'!K23</f>
        <v>-1048.6099549272792</v>
      </c>
      <c r="G10" s="211">
        <f ca="1">-'P&amp;L'!L23</f>
        <v>-1271.7729835610571</v>
      </c>
    </row>
    <row r="11" spans="1:8">
      <c r="A11" s="72" t="s">
        <v>109</v>
      </c>
      <c r="C11" s="11">
        <f>-'P&amp;L'!H29</f>
        <v>-1976.0155547721504</v>
      </c>
      <c r="D11" s="11">
        <f>-'P&amp;L'!I29</f>
        <v>-2199.4151593221031</v>
      </c>
      <c r="E11" s="11">
        <f>-'P&amp;L'!J29</f>
        <v>-2433.9862351052498</v>
      </c>
      <c r="F11" s="11">
        <f>-'P&amp;L'!K29</f>
        <v>-2676.2387813952064</v>
      </c>
      <c r="G11" s="211">
        <f>-'P&amp;L'!L29</f>
        <v>-2921.9808275923606</v>
      </c>
    </row>
    <row r="12" spans="1:8">
      <c r="A12" s="72" t="s">
        <v>110</v>
      </c>
      <c r="C12" s="10">
        <f>-'P&amp;L'!H32</f>
        <v>-81.599999999999994</v>
      </c>
      <c r="D12" s="10">
        <f>-'P&amp;L'!I32</f>
        <v>-74.52000000000001</v>
      </c>
      <c r="E12" s="10">
        <f>-'P&amp;L'!J32</f>
        <v>-16.024000000000001</v>
      </c>
      <c r="F12" s="10">
        <f>-'P&amp;L'!K32</f>
        <v>-22.628800000000002</v>
      </c>
      <c r="G12" s="213">
        <f>-'P&amp;L'!L32</f>
        <v>-54.754560000000005</v>
      </c>
    </row>
    <row r="13" spans="1:8">
      <c r="A13" s="210" t="s">
        <v>102</v>
      </c>
      <c r="C13" s="10">
        <f ca="1">SUM(C6:C12)</f>
        <v>13298.959091800096</v>
      </c>
      <c r="D13" s="10">
        <f ca="1">SUM(D6:D12)</f>
        <v>14717.815862411528</v>
      </c>
      <c r="E13" s="10">
        <f ca="1">SUM(E6:E12)</f>
        <v>16141.365108704404</v>
      </c>
      <c r="F13" s="10">
        <f ca="1">SUM(F6:F12)</f>
        <v>17605.330856694149</v>
      </c>
      <c r="G13" s="213">
        <f ca="1">SUM(G6:G12)</f>
        <v>19031.761055611063</v>
      </c>
    </row>
    <row r="14" spans="1:8">
      <c r="A14" s="210" t="s">
        <v>153</v>
      </c>
      <c r="C14" s="10"/>
      <c r="D14" s="10"/>
      <c r="E14" s="10"/>
      <c r="F14" s="10"/>
      <c r="G14" s="213"/>
    </row>
    <row r="15" spans="1:8">
      <c r="A15" s="72" t="s">
        <v>103</v>
      </c>
      <c r="C15" s="11">
        <f ca="1">-('Balance Sheet'!H11-'Balance Sheet'!G11)</f>
        <v>-357.16911094359284</v>
      </c>
      <c r="D15" s="11">
        <f ca="1">-('Balance Sheet'!I11-'Balance Sheet'!H11)</f>
        <v>-381.4672662640146</v>
      </c>
      <c r="E15" s="11">
        <f ca="1">-('Balance Sheet'!J11-'Balance Sheet'!I11)</f>
        <v>-390.35215372273069</v>
      </c>
      <c r="F15" s="11">
        <f ca="1">-('Balance Sheet'!K11-'Balance Sheet'!J11)</f>
        <v>-391.64883472133079</v>
      </c>
      <c r="G15" s="211">
        <f ca="1">-('Balance Sheet'!L11-'Balance Sheet'!K11)</f>
        <v>-384.43834319356483</v>
      </c>
    </row>
    <row r="16" spans="1:8">
      <c r="A16" s="72" t="s">
        <v>104</v>
      </c>
      <c r="C16" s="11">
        <f>-('Balance Sheet'!H12-'Balance Sheet'!G12)</f>
        <v>-710.72733793724728</v>
      </c>
      <c r="D16" s="11">
        <f>-('Balance Sheet'!I12-'Balance Sheet'!H12)</f>
        <v>-614.87852846902206</v>
      </c>
      <c r="E16" s="11">
        <f>-('Balance Sheet'!J12-'Balance Sheet'!I12)</f>
        <v>-645.62655869288119</v>
      </c>
      <c r="F16" s="11">
        <f>-('Balance Sheet'!K12-'Balance Sheet'!J12)</f>
        <v>-666.76881313518697</v>
      </c>
      <c r="G16" s="211">
        <f>-('Balance Sheet'!L12-'Balance Sheet'!K12)</f>
        <v>-676.37321047668229</v>
      </c>
    </row>
    <row r="17" spans="1:7">
      <c r="A17" s="72" t="s">
        <v>44</v>
      </c>
      <c r="C17" s="11">
        <f>-('Balance Sheet'!H13-'Balance Sheet'!G13)</f>
        <v>-391.97930054368135</v>
      </c>
      <c r="D17" s="11">
        <f>-('Balance Sheet'!I13-'Balance Sheet'!H13)</f>
        <v>-398.06639247874136</v>
      </c>
      <c r="E17" s="11">
        <f>-('Balance Sheet'!J13-'Balance Sheet'!I13)</f>
        <v>-417.97236886323844</v>
      </c>
      <c r="F17" s="11">
        <f>-('Balance Sheet'!K13-'Balance Sheet'!J13)</f>
        <v>-431.65965922231317</v>
      </c>
      <c r="G17" s="211">
        <f>-('Balance Sheet'!L13-'Balance Sheet'!K13)</f>
        <v>-437.87745285901838</v>
      </c>
    </row>
    <row r="18" spans="1:7">
      <c r="A18" s="72" t="s">
        <v>57</v>
      </c>
      <c r="C18" s="11">
        <f>('Balance Sheet'!H29-'Balance Sheet'!G29)</f>
        <v>3360.054719503838</v>
      </c>
      <c r="D18" s="11">
        <f>('Balance Sheet'!I29-'Balance Sheet'!H29)</f>
        <v>2834.8751075755135</v>
      </c>
      <c r="E18" s="11">
        <f>('Balance Sheet'!J29-'Balance Sheet'!I29)</f>
        <v>2976.6377833769147</v>
      </c>
      <c r="F18" s="11">
        <f>('Balance Sheet'!K29-'Balance Sheet'!J29)</f>
        <v>3074.1133790620515</v>
      </c>
      <c r="G18" s="211">
        <f>('Balance Sheet'!L29-'Balance Sheet'!K29)</f>
        <v>3118.3941039305282</v>
      </c>
    </row>
    <row r="19" spans="1:7">
      <c r="A19" s="72" t="s">
        <v>60</v>
      </c>
      <c r="C19" s="11">
        <f ca="1">('Balance Sheet'!H32-'Balance Sheet'!G32)</f>
        <v>-3.6381696697633288</v>
      </c>
      <c r="D19" s="11">
        <f ca="1">('Balance Sheet'!I32-'Balance Sheet'!H32)</f>
        <v>206.37634354440274</v>
      </c>
      <c r="E19" s="11">
        <f ca="1">('Balance Sheet'!J32-'Balance Sheet'!I32)</f>
        <v>329.78363110043324</v>
      </c>
      <c r="F19" s="11">
        <f ca="1">('Balance Sheet'!K32-'Balance Sheet'!J32)</f>
        <v>245.76747671920134</v>
      </c>
      <c r="G19" s="211">
        <f ca="1">('Balance Sheet'!L32-'Balance Sheet'!K32)</f>
        <v>154.9494963316165</v>
      </c>
    </row>
    <row r="20" spans="1:7" s="1" customFormat="1">
      <c r="A20" s="210" t="s">
        <v>105</v>
      </c>
      <c r="B20" s="6"/>
      <c r="C20" s="40">
        <f ca="1">SUM(C13:C19)</f>
        <v>15195.499892209651</v>
      </c>
      <c r="D20" s="40">
        <f ca="1">SUM(D13:D19)</f>
        <v>16364.655126319665</v>
      </c>
      <c r="E20" s="40">
        <f ca="1">SUM(E13:E19)</f>
        <v>17993.835441902902</v>
      </c>
      <c r="F20" s="40">
        <f ca="1">SUM(F13:F19)</f>
        <v>19435.134405396569</v>
      </c>
      <c r="G20" s="214">
        <f ca="1">SUM(G13:G19)</f>
        <v>20806.415649343944</v>
      </c>
    </row>
    <row r="21" spans="1:7">
      <c r="A21" s="72"/>
      <c r="C21" s="13"/>
      <c r="D21" s="13"/>
      <c r="E21" s="13"/>
      <c r="F21" s="13"/>
      <c r="G21" s="212"/>
    </row>
    <row r="22" spans="1:7">
      <c r="A22" s="210" t="s">
        <v>96</v>
      </c>
      <c r="C22" s="13"/>
      <c r="D22" s="13"/>
      <c r="E22" s="13"/>
      <c r="F22" s="13"/>
      <c r="G22" s="212"/>
    </row>
    <row r="23" spans="1:7">
      <c r="A23" s="72" t="s">
        <v>106</v>
      </c>
      <c r="C23" s="13">
        <f>-Capex!G7</f>
        <v>-1404</v>
      </c>
      <c r="D23" s="13">
        <f ca="1">-Capex!H7</f>
        <v>-1282.8424321327584</v>
      </c>
      <c r="E23" s="13">
        <f ca="1">-Capex!I7</f>
        <v>-1430.0677719931955</v>
      </c>
      <c r="F23" s="13">
        <f ca="1">-Capex!J7</f>
        <v>-1428.0582861742369</v>
      </c>
      <c r="G23" s="212">
        <f ca="1">-Capex!K7</f>
        <v>-1393.1437844925022</v>
      </c>
    </row>
    <row r="24" spans="1:7">
      <c r="A24" s="72" t="s">
        <v>107</v>
      </c>
      <c r="C24" s="13">
        <f>-Capex!G24</f>
        <v>0</v>
      </c>
      <c r="D24" s="13">
        <f>-Capex!H24</f>
        <v>0</v>
      </c>
      <c r="E24" s="13">
        <f>-Capex!I24</f>
        <v>0</v>
      </c>
      <c r="F24" s="13">
        <f>-Capex!J24</f>
        <v>0</v>
      </c>
      <c r="G24" s="212">
        <f>-Capex!K24</f>
        <v>0</v>
      </c>
    </row>
    <row r="25" spans="1:7">
      <c r="A25" s="72" t="s">
        <v>108</v>
      </c>
      <c r="C25" s="39">
        <f t="shared" ref="C25:G27" ca="1" si="1">-C10</f>
        <v>696.82510069760349</v>
      </c>
      <c r="D25" s="39">
        <f t="shared" ca="1" si="1"/>
        <v>464.12854723602612</v>
      </c>
      <c r="E25" s="39">
        <f t="shared" ca="1" si="1"/>
        <v>755.93948364467292</v>
      </c>
      <c r="F25" s="39">
        <f t="shared" ca="1" si="1"/>
        <v>1048.6099549272792</v>
      </c>
      <c r="G25" s="215">
        <f t="shared" ca="1" si="1"/>
        <v>1271.7729835610571</v>
      </c>
    </row>
    <row r="26" spans="1:7">
      <c r="A26" s="72" t="s">
        <v>109</v>
      </c>
      <c r="C26" s="39">
        <f t="shared" si="1"/>
        <v>1976.0155547721504</v>
      </c>
      <c r="D26" s="39">
        <f t="shared" si="1"/>
        <v>2199.4151593221031</v>
      </c>
      <c r="E26" s="39">
        <f t="shared" si="1"/>
        <v>2433.9862351052498</v>
      </c>
      <c r="F26" s="39">
        <f t="shared" si="1"/>
        <v>2676.2387813952064</v>
      </c>
      <c r="G26" s="215">
        <f t="shared" si="1"/>
        <v>2921.9808275923606</v>
      </c>
    </row>
    <row r="27" spans="1:7">
      <c r="A27" s="72" t="s">
        <v>110</v>
      </c>
      <c r="C27" s="39">
        <f t="shared" si="1"/>
        <v>81.599999999999994</v>
      </c>
      <c r="D27" s="39">
        <f t="shared" si="1"/>
        <v>74.52000000000001</v>
      </c>
      <c r="E27" s="39">
        <f t="shared" si="1"/>
        <v>16.024000000000001</v>
      </c>
      <c r="F27" s="39">
        <f t="shared" si="1"/>
        <v>22.628800000000002</v>
      </c>
      <c r="G27" s="215">
        <f t="shared" si="1"/>
        <v>54.754560000000005</v>
      </c>
    </row>
    <row r="28" spans="1:7" s="1" customFormat="1">
      <c r="A28" s="210" t="s">
        <v>111</v>
      </c>
      <c r="B28" s="6"/>
      <c r="C28" s="40">
        <f ca="1">SUM(C23:C27)</f>
        <v>1350.4406554697539</v>
      </c>
      <c r="D28" s="40">
        <f ca="1">SUM(D23:D27)</f>
        <v>1455.2212744253709</v>
      </c>
      <c r="E28" s="40">
        <f ca="1">SUM(E23:E27)</f>
        <v>1775.8819467567273</v>
      </c>
      <c r="F28" s="40">
        <f ca="1">SUM(F23:F27)</f>
        <v>2319.4192501482489</v>
      </c>
      <c r="G28" s="214">
        <f ca="1">SUM(G23:G27)</f>
        <v>2855.3645866609154</v>
      </c>
    </row>
    <row r="29" spans="1:7">
      <c r="A29" s="210"/>
      <c r="C29" s="13"/>
      <c r="D29" s="13"/>
      <c r="E29" s="13"/>
      <c r="F29" s="13"/>
      <c r="G29" s="212"/>
    </row>
    <row r="30" spans="1:7">
      <c r="A30" s="210" t="s">
        <v>97</v>
      </c>
      <c r="C30" s="13"/>
      <c r="D30" s="13"/>
      <c r="E30" s="13"/>
      <c r="F30" s="13"/>
      <c r="G30" s="212"/>
    </row>
    <row r="31" spans="1:7">
      <c r="A31" s="72" t="s">
        <v>112</v>
      </c>
      <c r="C31" s="11">
        <f>Debt!C7+Debt!C19</f>
        <v>-10559.599999999999</v>
      </c>
      <c r="D31" s="11">
        <f ca="1">Debt!D7+Debt!D19</f>
        <v>-1850.7823589765903</v>
      </c>
      <c r="E31" s="11">
        <f ca="1">Debt!E7+Debt!E19</f>
        <v>-1112.6551708995758</v>
      </c>
      <c r="F31" s="11">
        <f ca="1">Debt!F7+Debt!F19</f>
        <v>485.49611910475141</v>
      </c>
      <c r="G31" s="211">
        <f ca="1">Debt!G7+Debt!G19</f>
        <v>-2669.7785224570544</v>
      </c>
    </row>
    <row r="32" spans="1:7">
      <c r="A32" s="72" t="s">
        <v>113</v>
      </c>
      <c r="C32" s="11">
        <f>-Debt!C8-Debt!C20</f>
        <v>-2154.1595751109871</v>
      </c>
      <c r="D32" s="11">
        <f ca="1">-Debt!D8-Debt!D20</f>
        <v>-1171.7653988821307</v>
      </c>
      <c r="E32" s="11">
        <f ca="1">-Debt!E8-Debt!E20</f>
        <v>-1911.8306510745056</v>
      </c>
      <c r="F32" s="11">
        <f ca="1">-Debt!F8-Debt!F20</f>
        <v>-4759.9143090314947</v>
      </c>
      <c r="G32" s="211">
        <f ca="1">-Debt!G8-Debt!G20</f>
        <v>-2959.5318319309004</v>
      </c>
    </row>
    <row r="33" spans="1:7">
      <c r="A33" s="72" t="s">
        <v>114</v>
      </c>
      <c r="C33" s="11">
        <f>-C9</f>
        <v>-1560.4485712595588</v>
      </c>
      <c r="D33" s="11">
        <f ca="1">-D9</f>
        <v>-1290.1200593461392</v>
      </c>
      <c r="E33" s="11">
        <f ca="1">-E9</f>
        <v>-1185.3863260143937</v>
      </c>
      <c r="F33" s="11">
        <f ca="1">-F9</f>
        <v>-1058.9703806910727</v>
      </c>
      <c r="G33" s="211">
        <f ca="1">-G9</f>
        <v>-887.43925709858013</v>
      </c>
    </row>
    <row r="34" spans="1:7">
      <c r="A34" s="72" t="s">
        <v>115</v>
      </c>
      <c r="C34" s="13">
        <f ca="1">-'P&amp;L'!H59</f>
        <v>-9685.1351508155367</v>
      </c>
      <c r="D34" s="13">
        <f ca="1">-'P&amp;L'!I59</f>
        <v>-10849.953810352419</v>
      </c>
      <c r="E34" s="13">
        <f ca="1">-'P&amp;L'!J59</f>
        <v>-12252.6971294093</v>
      </c>
      <c r="F34" s="13">
        <f ca="1">-'P&amp;L'!K59</f>
        <v>-13746.342045297208</v>
      </c>
      <c r="G34" s="212">
        <f ca="1">-'P&amp;L'!L59</f>
        <v>-15258.563987801446</v>
      </c>
    </row>
    <row r="35" spans="1:7" s="1" customFormat="1">
      <c r="A35" s="210" t="s">
        <v>118</v>
      </c>
      <c r="B35" s="6"/>
      <c r="C35" s="40">
        <f ca="1">SUM(C31:C34)</f>
        <v>-23959.343297186082</v>
      </c>
      <c r="D35" s="40">
        <f ca="1">SUM(D31:D34)</f>
        <v>-15162.621627557281</v>
      </c>
      <c r="E35" s="40">
        <f ca="1">SUM(E31:E34)</f>
        <v>-16462.569277397775</v>
      </c>
      <c r="F35" s="40">
        <f ca="1">SUM(F31:F34)</f>
        <v>-19079.730615915025</v>
      </c>
      <c r="G35" s="214">
        <f ca="1">SUM(G31:G34)</f>
        <v>-21775.313599287983</v>
      </c>
    </row>
    <row r="36" spans="1:7">
      <c r="A36" s="72"/>
      <c r="C36" s="13"/>
      <c r="D36" s="13"/>
      <c r="E36" s="13"/>
      <c r="F36" s="13"/>
      <c r="G36" s="212"/>
    </row>
    <row r="37" spans="1:7" s="1" customFormat="1">
      <c r="A37" s="210" t="s">
        <v>119</v>
      </c>
      <c r="B37" s="6"/>
      <c r="C37" s="40">
        <f ca="1">C20+C28+C35</f>
        <v>-7413.4027495066766</v>
      </c>
      <c r="D37" s="40">
        <f ca="1">D20+D28+D35</f>
        <v>2657.2547731877567</v>
      </c>
      <c r="E37" s="40">
        <f ca="1">E20+E28+E35</f>
        <v>3307.148111261853</v>
      </c>
      <c r="F37" s="40">
        <f ca="1">F20+F28+F35</f>
        <v>2674.8230396297949</v>
      </c>
      <c r="G37" s="214">
        <f ca="1">G20+G28+G35</f>
        <v>1886.4666367168757</v>
      </c>
    </row>
    <row r="38" spans="1:7">
      <c r="A38" s="72"/>
      <c r="C38" s="13"/>
      <c r="D38" s="13"/>
      <c r="E38" s="13"/>
      <c r="F38" s="13"/>
      <c r="G38" s="212"/>
    </row>
    <row r="39" spans="1:7">
      <c r="A39" s="72" t="s">
        <v>120</v>
      </c>
      <c r="C39" s="13">
        <f>'Balance Sheet'!G6</f>
        <v>10828</v>
      </c>
      <c r="D39" s="13">
        <f ca="1">'Balance Sheet'!H6</f>
        <v>3414.5972504933234</v>
      </c>
      <c r="E39" s="13">
        <f ca="1">'Balance Sheet'!I6</f>
        <v>6071.85202368108</v>
      </c>
      <c r="F39" s="13">
        <f ca="1">'Balance Sheet'!J6</f>
        <v>9379.0001349429331</v>
      </c>
      <c r="G39" s="212">
        <f ca="1">'Balance Sheet'!K6</f>
        <v>12053.823174572728</v>
      </c>
    </row>
    <row r="40" spans="1:7" ht="16" thickBot="1">
      <c r="A40" s="105" t="s">
        <v>121</v>
      </c>
      <c r="B40" s="157"/>
      <c r="C40" s="85">
        <f ca="1">C37+C39</f>
        <v>3414.5972504933234</v>
      </c>
      <c r="D40" s="85">
        <f ca="1">D37+D39</f>
        <v>6071.85202368108</v>
      </c>
      <c r="E40" s="85">
        <f ca="1">E37+E39</f>
        <v>9379.0001349429331</v>
      </c>
      <c r="F40" s="85">
        <f ca="1">F37+F39</f>
        <v>12053.823174572728</v>
      </c>
      <c r="G40" s="216">
        <f ca="1">G37+G39</f>
        <v>13940.289811289604</v>
      </c>
    </row>
  </sheetData>
  <mergeCells count="2">
    <mergeCell ref="C2:G2"/>
    <mergeCell ref="A2:A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0E62-5AB2-4159-A468-6B7490413407}">
  <sheetPr>
    <tabColor theme="9" tint="0.39997558519241921"/>
  </sheetPr>
  <dimension ref="A1:R73"/>
  <sheetViews>
    <sheetView showGridLines="0" tabSelected="1" topLeftCell="A10" zoomScale="70" zoomScaleNormal="70" workbookViewId="0">
      <selection activeCell="J55" sqref="J55"/>
    </sheetView>
  </sheetViews>
  <sheetFormatPr baseColWidth="10" defaultColWidth="8.83203125" defaultRowHeight="15"/>
  <cols>
    <col min="1" max="1" width="42.5" customWidth="1"/>
    <col min="2" max="2" width="11.5" style="4" customWidth="1"/>
    <col min="3" max="11" width="11.5" style="5" customWidth="1"/>
    <col min="12" max="12" width="11.5" customWidth="1"/>
    <col min="13" max="13" width="10" customWidth="1"/>
  </cols>
  <sheetData>
    <row r="1" spans="1:12" ht="50" customHeight="1" thickBot="1">
      <c r="A1" s="79"/>
      <c r="B1" s="197"/>
      <c r="C1" s="79"/>
      <c r="D1" s="79"/>
      <c r="E1" s="79"/>
      <c r="F1" s="79"/>
      <c r="G1" s="79"/>
      <c r="H1" s="79"/>
      <c r="I1" s="79" t="s">
        <v>70</v>
      </c>
      <c r="J1" s="79"/>
      <c r="K1" s="79"/>
      <c r="L1" s="79"/>
    </row>
    <row r="2" spans="1:12">
      <c r="A2" s="314" t="s">
        <v>1</v>
      </c>
      <c r="B2" s="89"/>
      <c r="C2" s="331" t="s">
        <v>4</v>
      </c>
      <c r="D2" s="332"/>
      <c r="E2" s="332"/>
      <c r="F2" s="332"/>
      <c r="G2" s="333"/>
      <c r="H2" s="332" t="s">
        <v>3</v>
      </c>
      <c r="I2" s="332"/>
      <c r="J2" s="332"/>
      <c r="K2" s="332"/>
      <c r="L2" s="334"/>
    </row>
    <row r="3" spans="1:12" ht="16" thickBot="1">
      <c r="A3" s="315"/>
      <c r="B3" s="107" t="s">
        <v>2</v>
      </c>
      <c r="C3" s="91">
        <v>2020</v>
      </c>
      <c r="D3" s="92">
        <f>C3+1</f>
        <v>2021</v>
      </c>
      <c r="E3" s="92">
        <f t="shared" ref="E3:G3" si="0">D3+1</f>
        <v>2022</v>
      </c>
      <c r="F3" s="92">
        <f t="shared" si="0"/>
        <v>2023</v>
      </c>
      <c r="G3" s="218">
        <f t="shared" si="0"/>
        <v>2024</v>
      </c>
      <c r="H3" s="92">
        <f>G3+1</f>
        <v>2025</v>
      </c>
      <c r="I3" s="92">
        <f t="shared" ref="I3:J3" si="1">H3+1</f>
        <v>2026</v>
      </c>
      <c r="J3" s="92">
        <f t="shared" si="1"/>
        <v>2027</v>
      </c>
      <c r="K3" s="92">
        <f t="shared" ref="K3" si="2">J3+1</f>
        <v>2028</v>
      </c>
      <c r="L3" s="93">
        <f t="shared" ref="L3" si="3">K3+1</f>
        <v>2029</v>
      </c>
    </row>
    <row r="4" spans="1:12">
      <c r="A4" s="187" t="s">
        <v>37</v>
      </c>
      <c r="B4" s="189" t="s">
        <v>69</v>
      </c>
      <c r="C4" s="208"/>
      <c r="D4" s="208"/>
      <c r="E4" s="208"/>
      <c r="F4" s="208"/>
      <c r="G4" s="63"/>
      <c r="H4" s="208"/>
      <c r="I4" s="208"/>
      <c r="J4" s="208"/>
      <c r="K4" s="208"/>
      <c r="L4" s="219"/>
    </row>
    <row r="5" spans="1:12">
      <c r="A5" s="220" t="s">
        <v>36</v>
      </c>
      <c r="C5" s="11"/>
      <c r="D5" s="11"/>
      <c r="E5" s="11"/>
      <c r="F5" s="11"/>
      <c r="G5" s="46"/>
      <c r="H5" s="11"/>
      <c r="I5" s="11"/>
      <c r="J5" s="11"/>
      <c r="K5" s="11"/>
      <c r="L5" s="144"/>
    </row>
    <row r="6" spans="1:12">
      <c r="A6" s="72" t="s">
        <v>38</v>
      </c>
      <c r="C6" s="21">
        <v>6795</v>
      </c>
      <c r="D6" s="21">
        <v>9684</v>
      </c>
      <c r="E6" s="21">
        <v>9519</v>
      </c>
      <c r="F6" s="21">
        <v>9366</v>
      </c>
      <c r="G6" s="46">
        <v>10828</v>
      </c>
      <c r="H6" s="11">
        <f ca="1">CFS!C40</f>
        <v>3414.5972504933234</v>
      </c>
      <c r="I6" s="11">
        <f ca="1">CFS!D40</f>
        <v>6071.85202368108</v>
      </c>
      <c r="J6" s="11">
        <f ca="1">CFS!E40</f>
        <v>9379.0001349429331</v>
      </c>
      <c r="K6" s="11">
        <f ca="1">CFS!F40</f>
        <v>12053.823174572728</v>
      </c>
      <c r="L6" s="211">
        <f ca="1">CFS!G40</f>
        <v>13940.289811289604</v>
      </c>
    </row>
    <row r="7" spans="1:12">
      <c r="A7" s="72" t="s">
        <v>39</v>
      </c>
      <c r="C7" s="21">
        <v>1771</v>
      </c>
      <c r="D7" s="21">
        <v>1242</v>
      </c>
      <c r="E7" s="21">
        <v>1043</v>
      </c>
      <c r="F7" s="21">
        <v>2997</v>
      </c>
      <c r="G7" s="38">
        <v>2020</v>
      </c>
      <c r="H7" s="13">
        <f>G7</f>
        <v>2020</v>
      </c>
      <c r="I7" s="13">
        <f>H7</f>
        <v>2020</v>
      </c>
      <c r="J7" s="13">
        <f>I7</f>
        <v>2020</v>
      </c>
      <c r="K7" s="13">
        <f>J7</f>
        <v>2020</v>
      </c>
      <c r="L7" s="212">
        <f>K7</f>
        <v>2020</v>
      </c>
    </row>
    <row r="8" spans="1:12" s="1" customFormat="1">
      <c r="A8" s="210" t="s">
        <v>40</v>
      </c>
      <c r="B8" s="6"/>
      <c r="C8" s="40">
        <f t="shared" ref="C8:D8" si="4">SUM(C6:C7)</f>
        <v>8566</v>
      </c>
      <c r="D8" s="40">
        <f t="shared" si="4"/>
        <v>10926</v>
      </c>
      <c r="E8" s="40">
        <f>SUM(E6:E7)</f>
        <v>10562</v>
      </c>
      <c r="F8" s="40">
        <f>SUM(F6:F7)</f>
        <v>12363</v>
      </c>
      <c r="G8" s="41">
        <f>SUM(G6:G7)</f>
        <v>12848</v>
      </c>
      <c r="H8" s="40">
        <f t="shared" ref="H8:L8" ca="1" si="5">SUM(H6:H7)</f>
        <v>5434.5972504933234</v>
      </c>
      <c r="I8" s="40">
        <f t="shared" ca="1" si="5"/>
        <v>8091.85202368108</v>
      </c>
      <c r="J8" s="40">
        <f t="shared" ca="1" si="5"/>
        <v>11399.000134942933</v>
      </c>
      <c r="K8" s="40">
        <f t="shared" ca="1" si="5"/>
        <v>14073.823174572728</v>
      </c>
      <c r="L8" s="214">
        <f t="shared" ca="1" si="5"/>
        <v>15960.289811289604</v>
      </c>
    </row>
    <row r="9" spans="1:12">
      <c r="A9" s="210"/>
      <c r="C9" s="13"/>
      <c r="D9" s="13"/>
      <c r="E9" s="13"/>
      <c r="F9" s="13"/>
      <c r="G9" s="38"/>
      <c r="H9" s="13"/>
      <c r="I9" s="13"/>
      <c r="J9" s="13"/>
      <c r="K9" s="13"/>
      <c r="L9" s="212"/>
    </row>
    <row r="10" spans="1:12">
      <c r="A10" s="72" t="s">
        <v>41</v>
      </c>
      <c r="C10" s="21">
        <v>2348</v>
      </c>
      <c r="D10" s="21">
        <v>1699</v>
      </c>
      <c r="E10" s="21">
        <v>1069</v>
      </c>
      <c r="F10" s="21">
        <v>1300</v>
      </c>
      <c r="G10" s="38">
        <v>1723</v>
      </c>
      <c r="H10" s="13">
        <f>G10</f>
        <v>1723</v>
      </c>
      <c r="I10" s="13">
        <f>H10</f>
        <v>1723</v>
      </c>
      <c r="J10" s="13">
        <f>I10</f>
        <v>1723</v>
      </c>
      <c r="K10" s="13">
        <f>J10</f>
        <v>1723</v>
      </c>
      <c r="L10" s="212">
        <f>K10</f>
        <v>1723</v>
      </c>
    </row>
    <row r="11" spans="1:12">
      <c r="A11" s="72" t="s">
        <v>42</v>
      </c>
      <c r="C11" s="21">
        <v>3144</v>
      </c>
      <c r="D11" s="21">
        <v>3512</v>
      </c>
      <c r="E11" s="21">
        <v>3487</v>
      </c>
      <c r="F11" s="21">
        <v>3410</v>
      </c>
      <c r="G11" s="46">
        <v>3569</v>
      </c>
      <c r="H11" s="11">
        <f ca="1">H47</f>
        <v>3926.1691109435928</v>
      </c>
      <c r="I11" s="11">
        <f ca="1">I47</f>
        <v>4307.6363772076074</v>
      </c>
      <c r="J11" s="11">
        <f ca="1">J47</f>
        <v>4697.9885309303381</v>
      </c>
      <c r="K11" s="11">
        <f ca="1">K47</f>
        <v>5089.6373656516689</v>
      </c>
      <c r="L11" s="211">
        <f ca="1">L47</f>
        <v>5474.0757088452337</v>
      </c>
    </row>
    <row r="12" spans="1:12">
      <c r="A12" s="72" t="s">
        <v>43</v>
      </c>
      <c r="C12" s="21">
        <v>3266</v>
      </c>
      <c r="D12" s="21">
        <v>3414</v>
      </c>
      <c r="E12" s="21">
        <v>4233</v>
      </c>
      <c r="F12" s="21">
        <v>4424</v>
      </c>
      <c r="G12" s="46">
        <v>4728</v>
      </c>
      <c r="H12" s="11">
        <f>H51</f>
        <v>5438.7273379372473</v>
      </c>
      <c r="I12" s="11">
        <f>I51</f>
        <v>6053.6058664062693</v>
      </c>
      <c r="J12" s="11">
        <f>J51</f>
        <v>6699.2324250991505</v>
      </c>
      <c r="K12" s="11">
        <f>K51</f>
        <v>7366.0012382343375</v>
      </c>
      <c r="L12" s="211">
        <f>L51</f>
        <v>8042.3744487110198</v>
      </c>
    </row>
    <row r="13" spans="1:12">
      <c r="A13" s="72" t="s">
        <v>44</v>
      </c>
      <c r="C13" s="21">
        <v>1916</v>
      </c>
      <c r="D13" s="21">
        <v>2994</v>
      </c>
      <c r="E13" s="21">
        <v>3240</v>
      </c>
      <c r="F13" s="21">
        <v>5235</v>
      </c>
      <c r="G13" s="46">
        <v>3129</v>
      </c>
      <c r="H13" s="11">
        <f>H56</f>
        <v>3520.9793005436813</v>
      </c>
      <c r="I13" s="11">
        <f>I56</f>
        <v>3919.0456930224227</v>
      </c>
      <c r="J13" s="11">
        <f>J56</f>
        <v>4337.0180618856612</v>
      </c>
      <c r="K13" s="11">
        <f>K56</f>
        <v>4768.6777211079743</v>
      </c>
      <c r="L13" s="211">
        <f>L56</f>
        <v>5206.5551739669927</v>
      </c>
    </row>
    <row r="14" spans="1:12" s="1" customFormat="1">
      <c r="A14" s="210" t="s">
        <v>45</v>
      </c>
      <c r="B14" s="6"/>
      <c r="C14" s="40">
        <f>SUM(C8:C13)</f>
        <v>19240</v>
      </c>
      <c r="D14" s="40">
        <f t="shared" ref="D14" si="6">SUM(D8:D13)</f>
        <v>22545</v>
      </c>
      <c r="E14" s="40">
        <f>SUM(E8:E13)</f>
        <v>22591</v>
      </c>
      <c r="F14" s="40">
        <f>SUM(F8:F13)</f>
        <v>26732</v>
      </c>
      <c r="G14" s="41">
        <f>SUM(G8:G13)</f>
        <v>25997</v>
      </c>
      <c r="H14" s="40">
        <f t="shared" ref="H14:L14" ca="1" si="7">SUM(H8:H13)</f>
        <v>20043.472999917845</v>
      </c>
      <c r="I14" s="40">
        <f t="shared" ca="1" si="7"/>
        <v>24095.139960317378</v>
      </c>
      <c r="J14" s="40">
        <f t="shared" ca="1" si="7"/>
        <v>28856.239152858085</v>
      </c>
      <c r="K14" s="40">
        <f t="shared" ca="1" si="7"/>
        <v>33021.139499566707</v>
      </c>
      <c r="L14" s="214">
        <f t="shared" ca="1" si="7"/>
        <v>36406.295142812851</v>
      </c>
    </row>
    <row r="15" spans="1:12" s="1" customFormat="1">
      <c r="A15" s="210"/>
      <c r="B15" s="6"/>
      <c r="C15" s="40"/>
      <c r="D15" s="40"/>
      <c r="E15" s="40"/>
      <c r="F15" s="40"/>
      <c r="G15" s="41"/>
      <c r="H15" s="40"/>
      <c r="I15" s="40"/>
      <c r="J15" s="40"/>
      <c r="K15" s="40"/>
      <c r="L15" s="214"/>
    </row>
    <row r="16" spans="1:12">
      <c r="A16" s="72" t="s">
        <v>46</v>
      </c>
      <c r="C16" s="21">
        <v>19273</v>
      </c>
      <c r="D16" s="21">
        <v>17598</v>
      </c>
      <c r="E16" s="21">
        <v>18264</v>
      </c>
      <c r="F16" s="21">
        <v>19671</v>
      </c>
      <c r="G16" s="38">
        <v>18087</v>
      </c>
      <c r="H16" s="13">
        <f t="shared" ref="H16:L19" si="8">G16</f>
        <v>18087</v>
      </c>
      <c r="I16" s="13">
        <f t="shared" si="8"/>
        <v>18087</v>
      </c>
      <c r="J16" s="13">
        <f t="shared" si="8"/>
        <v>18087</v>
      </c>
      <c r="K16" s="13">
        <f t="shared" si="8"/>
        <v>18087</v>
      </c>
      <c r="L16" s="212">
        <f t="shared" si="8"/>
        <v>18087</v>
      </c>
    </row>
    <row r="17" spans="1:12">
      <c r="A17" s="72" t="s">
        <v>47</v>
      </c>
      <c r="C17" s="21">
        <v>812</v>
      </c>
      <c r="D17" s="21">
        <v>818</v>
      </c>
      <c r="E17" s="21">
        <v>501</v>
      </c>
      <c r="F17" s="21">
        <v>118</v>
      </c>
      <c r="G17" s="38">
        <v>0</v>
      </c>
      <c r="H17" s="13">
        <f>G17</f>
        <v>0</v>
      </c>
      <c r="I17" s="13">
        <f t="shared" si="8"/>
        <v>0</v>
      </c>
      <c r="J17" s="13">
        <f t="shared" si="8"/>
        <v>0</v>
      </c>
      <c r="K17" s="13">
        <f t="shared" si="8"/>
        <v>0</v>
      </c>
      <c r="L17" s="212">
        <f t="shared" si="8"/>
        <v>0</v>
      </c>
    </row>
    <row r="18" spans="1:12">
      <c r="A18" s="72" t="s">
        <v>48</v>
      </c>
      <c r="C18" s="21">
        <v>6184</v>
      </c>
      <c r="D18" s="21">
        <v>6731</v>
      </c>
      <c r="E18" s="21">
        <v>6189</v>
      </c>
      <c r="F18" s="21">
        <v>7162</v>
      </c>
      <c r="G18" s="38">
        <v>13403</v>
      </c>
      <c r="H18" s="13">
        <f t="shared" si="8"/>
        <v>13403</v>
      </c>
      <c r="I18" s="13">
        <f t="shared" si="8"/>
        <v>13403</v>
      </c>
      <c r="J18" s="13">
        <f t="shared" si="8"/>
        <v>13403</v>
      </c>
      <c r="K18" s="13">
        <f t="shared" si="8"/>
        <v>13403</v>
      </c>
      <c r="L18" s="212">
        <f t="shared" si="8"/>
        <v>13403</v>
      </c>
    </row>
    <row r="19" spans="1:12">
      <c r="A19" s="72" t="s">
        <v>49</v>
      </c>
      <c r="C19" s="21">
        <v>2460</v>
      </c>
      <c r="D19" s="21">
        <v>2129</v>
      </c>
      <c r="E19" s="21">
        <v>1746</v>
      </c>
      <c r="F19" s="21">
        <v>1561</v>
      </c>
      <c r="G19" s="38">
        <v>1319</v>
      </c>
      <c r="H19" s="13">
        <f t="shared" si="8"/>
        <v>1319</v>
      </c>
      <c r="I19" s="13">
        <f t="shared" si="8"/>
        <v>1319</v>
      </c>
      <c r="J19" s="13">
        <f t="shared" si="8"/>
        <v>1319</v>
      </c>
      <c r="K19" s="13">
        <f t="shared" si="8"/>
        <v>1319</v>
      </c>
      <c r="L19" s="212">
        <f t="shared" si="8"/>
        <v>1319</v>
      </c>
    </row>
    <row r="20" spans="1:12">
      <c r="A20" s="72" t="s">
        <v>50</v>
      </c>
      <c r="C20" s="21">
        <v>10777</v>
      </c>
      <c r="D20" s="21">
        <v>9920</v>
      </c>
      <c r="E20" s="21">
        <v>9841</v>
      </c>
      <c r="F20" s="21">
        <v>9236</v>
      </c>
      <c r="G20" s="38">
        <v>10303</v>
      </c>
      <c r="H20" s="23">
        <f ca="1">Capex!H10</f>
        <v>10524.484061235744</v>
      </c>
      <c r="I20" s="23">
        <f ca="1">Capex!I10</f>
        <v>10821.449006604194</v>
      </c>
      <c r="J20" s="23">
        <f ca="1">Capex!J10</f>
        <v>11044.760823456774</v>
      </c>
      <c r="K20" s="23">
        <f ca="1">Capex!K10</f>
        <v>11163.266106567084</v>
      </c>
      <c r="L20" s="221">
        <f ca="1">Capex!L10</f>
        <v>10254.571853936528</v>
      </c>
    </row>
    <row r="21" spans="1:12">
      <c r="A21" s="72" t="s">
        <v>51</v>
      </c>
      <c r="C21" s="21">
        <v>10395</v>
      </c>
      <c r="D21" s="21">
        <v>14465</v>
      </c>
      <c r="E21" s="21">
        <v>14214</v>
      </c>
      <c r="F21" s="21">
        <v>14349</v>
      </c>
      <c r="G21" s="38">
        <v>13301</v>
      </c>
      <c r="H21" s="13">
        <f>G21</f>
        <v>13301</v>
      </c>
      <c r="I21" s="13">
        <f t="shared" ref="I21:L22" si="9">H21</f>
        <v>13301</v>
      </c>
      <c r="J21" s="13">
        <f t="shared" si="9"/>
        <v>13301</v>
      </c>
      <c r="K21" s="13">
        <f t="shared" si="9"/>
        <v>13301</v>
      </c>
      <c r="L21" s="212">
        <f t="shared" si="9"/>
        <v>13301</v>
      </c>
    </row>
    <row r="22" spans="1:12">
      <c r="A22" s="72" t="s">
        <v>52</v>
      </c>
      <c r="C22" s="21">
        <v>17506</v>
      </c>
      <c r="D22" s="21">
        <v>19363</v>
      </c>
      <c r="E22" s="21">
        <v>18782</v>
      </c>
      <c r="F22" s="21">
        <v>18358</v>
      </c>
      <c r="G22" s="50">
        <v>18139</v>
      </c>
      <c r="H22" s="13">
        <f>G22</f>
        <v>18139</v>
      </c>
      <c r="I22" s="13">
        <f t="shared" si="9"/>
        <v>18139</v>
      </c>
      <c r="J22" s="13">
        <f t="shared" si="9"/>
        <v>18139</v>
      </c>
      <c r="K22" s="13">
        <f t="shared" si="9"/>
        <v>18139</v>
      </c>
      <c r="L22" s="212">
        <f t="shared" si="9"/>
        <v>18139</v>
      </c>
    </row>
    <row r="23" spans="1:12">
      <c r="A23" s="72" t="s">
        <v>236</v>
      </c>
      <c r="C23" s="21">
        <v>0</v>
      </c>
      <c r="D23" s="21">
        <v>0</v>
      </c>
      <c r="E23" s="21">
        <v>0</v>
      </c>
      <c r="F23" s="21">
        <v>0</v>
      </c>
      <c r="G23" s="308">
        <v>0</v>
      </c>
      <c r="H23" s="13">
        <f ca="1">H41-H55</f>
        <v>7520.1575678672671</v>
      </c>
      <c r="I23" s="13">
        <f ca="1">I41-I55</f>
        <v>5742.9322280068154</v>
      </c>
      <c r="J23" s="13">
        <f ca="1">J41-J55</f>
        <v>3678.9417138257413</v>
      </c>
      <c r="K23" s="13">
        <f ca="1">K41-K55</f>
        <v>8365.8562155075051</v>
      </c>
      <c r="L23" s="212">
        <f ca="1">L41-L55</f>
        <v>10297.727163835472</v>
      </c>
    </row>
    <row r="24" spans="1:12">
      <c r="A24" s="72" t="s">
        <v>53</v>
      </c>
      <c r="C24" s="21">
        <v>649</v>
      </c>
      <c r="D24" s="21">
        <v>785</v>
      </c>
      <c r="E24" s="21">
        <v>635</v>
      </c>
      <c r="F24" s="21">
        <v>516</v>
      </c>
      <c r="G24" s="50">
        <v>0</v>
      </c>
      <c r="H24" s="23">
        <f>Capex!H18</f>
        <v>377</v>
      </c>
      <c r="I24" s="23">
        <f>Capex!I18</f>
        <v>323</v>
      </c>
      <c r="J24" s="23">
        <f>Capex!J18</f>
        <v>281</v>
      </c>
      <c r="K24" s="23">
        <f>Capex!K18</f>
        <v>239</v>
      </c>
      <c r="L24" s="221">
        <f>Capex!L18</f>
        <v>205</v>
      </c>
    </row>
    <row r="25" spans="1:12" s="1" customFormat="1">
      <c r="A25" s="222" t="s">
        <v>55</v>
      </c>
      <c r="B25" s="15"/>
      <c r="C25" s="16">
        <f t="shared" ref="C25:D25" si="10">C14+SUM(C16:C24)</f>
        <v>87296</v>
      </c>
      <c r="D25" s="16">
        <f t="shared" si="10"/>
        <v>94354</v>
      </c>
      <c r="E25" s="16">
        <f>E14+SUM(E16:E24)</f>
        <v>92763</v>
      </c>
      <c r="F25" s="16">
        <f>F14+SUM(F16:F24)</f>
        <v>97703</v>
      </c>
      <c r="G25" s="47">
        <f>G14+SUM(G16:G24)</f>
        <v>100549</v>
      </c>
      <c r="H25" s="16">
        <f ca="1">H14+SUM(H16:H24)</f>
        <v>102714.11462902086</v>
      </c>
      <c r="I25" s="16">
        <f t="shared" ref="I25:L25" ca="1" si="11">I14+SUM(I16:I24)</f>
        <v>105231.52119492838</v>
      </c>
      <c r="J25" s="16">
        <f ca="1">J14+SUM(J16:J24)</f>
        <v>108109.94169014061</v>
      </c>
      <c r="K25" s="16">
        <f ca="1">K14+SUM(K16:K24)</f>
        <v>117038.2618216413</v>
      </c>
      <c r="L25" s="223">
        <f t="shared" ca="1" si="11"/>
        <v>121412.59416058485</v>
      </c>
    </row>
    <row r="26" spans="1:12" s="1" customFormat="1">
      <c r="A26" s="210"/>
      <c r="B26" s="6"/>
      <c r="C26" s="40"/>
      <c r="D26" s="40"/>
      <c r="E26" s="40"/>
      <c r="F26" s="40"/>
      <c r="G26" s="41"/>
      <c r="H26" s="40"/>
      <c r="I26" s="40"/>
      <c r="J26" s="40"/>
      <c r="K26" s="40"/>
      <c r="L26" s="224"/>
    </row>
    <row r="27" spans="1:12">
      <c r="A27" s="210" t="s">
        <v>56</v>
      </c>
      <c r="C27" s="13"/>
      <c r="D27" s="13"/>
      <c r="E27" s="13"/>
      <c r="F27" s="13"/>
      <c r="G27" s="38"/>
      <c r="H27" s="13"/>
      <c r="I27" s="13"/>
      <c r="J27" s="13"/>
      <c r="K27" s="13"/>
      <c r="L27" s="144"/>
    </row>
    <row r="28" spans="1:12">
      <c r="A28" s="72" t="s">
        <v>54</v>
      </c>
      <c r="C28" s="13"/>
      <c r="D28" s="13"/>
      <c r="E28" s="13"/>
      <c r="F28" s="13"/>
      <c r="G28" s="38"/>
      <c r="H28" s="13"/>
      <c r="I28" s="13"/>
      <c r="J28" s="13"/>
      <c r="K28" s="13"/>
      <c r="L28" s="144"/>
    </row>
    <row r="29" spans="1:12">
      <c r="A29" s="72" t="s">
        <v>57</v>
      </c>
      <c r="C29" s="21">
        <v>11145</v>
      </c>
      <c r="D29" s="21">
        <v>14619</v>
      </c>
      <c r="E29" s="21">
        <v>15749</v>
      </c>
      <c r="F29" s="21">
        <v>15485</v>
      </c>
      <c r="G29" s="46">
        <v>21715</v>
      </c>
      <c r="H29" s="11">
        <f>H60</f>
        <v>25075.054719503838</v>
      </c>
      <c r="I29" s="11">
        <f>I60</f>
        <v>27909.929827079352</v>
      </c>
      <c r="J29" s="11">
        <f>J60</f>
        <v>30886.567610456266</v>
      </c>
      <c r="K29" s="11">
        <f>K60</f>
        <v>33960.680989518318</v>
      </c>
      <c r="L29" s="211">
        <f>L60</f>
        <v>37079.075093448846</v>
      </c>
    </row>
    <row r="30" spans="1:12">
      <c r="A30" s="72" t="s">
        <v>58</v>
      </c>
      <c r="C30" s="21">
        <v>2183</v>
      </c>
      <c r="D30" s="21">
        <v>3307</v>
      </c>
      <c r="E30" s="21">
        <v>2373</v>
      </c>
      <c r="F30" s="21">
        <v>4557</v>
      </c>
      <c r="G30" s="35">
        <v>1499</v>
      </c>
      <c r="H30" s="34">
        <f>Debt!C21</f>
        <v>1304.8404248890129</v>
      </c>
      <c r="I30" s="34">
        <f ca="1">Debt!D21</f>
        <v>1203.0750260068821</v>
      </c>
      <c r="J30" s="34">
        <f ca="1">Debt!E21</f>
        <v>1101.2443749323766</v>
      </c>
      <c r="K30" s="34">
        <f ca="1">Debt!F21</f>
        <v>957.33006590088223</v>
      </c>
      <c r="L30" s="225">
        <f ca="1">Debt!G21</f>
        <v>767.79823396998188</v>
      </c>
    </row>
    <row r="31" spans="1:12">
      <c r="A31" s="72" t="s">
        <v>59</v>
      </c>
      <c r="C31" s="21">
        <v>485</v>
      </c>
      <c r="D31" s="21">
        <v>1338</v>
      </c>
      <c r="E31" s="21">
        <v>399</v>
      </c>
      <c r="F31" s="21">
        <v>1960</v>
      </c>
      <c r="G31" s="46">
        <v>648</v>
      </c>
      <c r="H31" s="11">
        <f>Debt!C8</f>
        <v>1960</v>
      </c>
      <c r="I31" s="11">
        <f>Debt!D8</f>
        <v>1070</v>
      </c>
      <c r="J31" s="11">
        <f>Debt!E8</f>
        <v>1810</v>
      </c>
      <c r="K31" s="11">
        <f>Debt!F8</f>
        <v>4616</v>
      </c>
      <c r="L31" s="211">
        <f>Debt!G8</f>
        <v>2770</v>
      </c>
    </row>
    <row r="32" spans="1:12">
      <c r="A32" s="72" t="s">
        <v>60</v>
      </c>
      <c r="C32" s="21">
        <v>788</v>
      </c>
      <c r="D32" s="21">
        <v>686</v>
      </c>
      <c r="E32" s="21">
        <v>1203</v>
      </c>
      <c r="F32" s="21">
        <v>1569</v>
      </c>
      <c r="G32" s="46">
        <v>1387</v>
      </c>
      <c r="H32" s="11">
        <f ca="1">H63</f>
        <v>1383.3618303302367</v>
      </c>
      <c r="I32" s="11">
        <f ca="1">I63</f>
        <v>1589.7381738746394</v>
      </c>
      <c r="J32" s="11">
        <f ca="1">J63</f>
        <v>1919.5218049750727</v>
      </c>
      <c r="K32" s="11">
        <f ca="1">K63</f>
        <v>2165.289281694274</v>
      </c>
      <c r="L32" s="211">
        <f ca="1">L63</f>
        <v>2320.2387780258905</v>
      </c>
    </row>
    <row r="33" spans="1:18" s="1" customFormat="1">
      <c r="A33" s="210" t="s">
        <v>61</v>
      </c>
      <c r="B33" s="6"/>
      <c r="C33" s="40">
        <f t="shared" ref="C33" si="12">SUM(C29:C32)</f>
        <v>14601</v>
      </c>
      <c r="D33" s="40">
        <f>SUM(D29:D32)</f>
        <v>19950</v>
      </c>
      <c r="E33" s="40">
        <f t="shared" ref="E33:K33" si="13">SUM(E29:E32)</f>
        <v>19724</v>
      </c>
      <c r="F33" s="40">
        <f t="shared" si="13"/>
        <v>23571</v>
      </c>
      <c r="G33" s="41">
        <f t="shared" si="13"/>
        <v>25249</v>
      </c>
      <c r="H33" s="40">
        <f t="shared" ca="1" si="13"/>
        <v>29723.256974723088</v>
      </c>
      <c r="I33" s="40">
        <f t="shared" ca="1" si="13"/>
        <v>31772.743026960874</v>
      </c>
      <c r="J33" s="40">
        <f t="shared" ca="1" si="13"/>
        <v>35717.333790363715</v>
      </c>
      <c r="K33" s="40">
        <f t="shared" ca="1" si="13"/>
        <v>41699.300337113476</v>
      </c>
      <c r="L33" s="214">
        <f ca="1">SUM(L29:L32)</f>
        <v>42937.112105444714</v>
      </c>
    </row>
    <row r="34" spans="1:18">
      <c r="A34" s="72" t="s">
        <v>62</v>
      </c>
      <c r="C34" s="21">
        <v>40125</v>
      </c>
      <c r="D34" s="21">
        <v>38116</v>
      </c>
      <c r="E34" s="21">
        <v>36377</v>
      </c>
      <c r="F34" s="21">
        <v>35547</v>
      </c>
      <c r="G34" s="35">
        <v>42375</v>
      </c>
      <c r="H34" s="34">
        <f>(Debt!C9-Debt!D8)</f>
        <v>36380.400000000001</v>
      </c>
      <c r="I34" s="34">
        <f ca="1">(Debt!D9-Debt!E8)</f>
        <v>32719.617641023411</v>
      </c>
      <c r="J34" s="34">
        <f ca="1">(Debt!E9-Debt!F8)</f>
        <v>26990.962470123839</v>
      </c>
      <c r="K34" s="34">
        <f ca="1">(Debt!F9-Debt!G8)</f>
        <v>24706.45858922859</v>
      </c>
      <c r="L34" s="225">
        <f ca="1">(Debt!G9-Debt!H8)</f>
        <v>22036.680066771536</v>
      </c>
    </row>
    <row r="35" spans="1:18">
      <c r="A35" s="72" t="s">
        <v>63</v>
      </c>
      <c r="C35" s="21">
        <v>9453</v>
      </c>
      <c r="D35" s="21">
        <v>8607</v>
      </c>
      <c r="E35" s="21">
        <v>7922</v>
      </c>
      <c r="F35" s="21">
        <v>8466</v>
      </c>
      <c r="G35" s="38">
        <v>4084</v>
      </c>
      <c r="H35" s="13">
        <f>G35</f>
        <v>4084</v>
      </c>
      <c r="I35" s="13">
        <f t="shared" ref="I35:L36" si="14">H35</f>
        <v>4084</v>
      </c>
      <c r="J35" s="13">
        <f t="shared" si="14"/>
        <v>4084</v>
      </c>
      <c r="K35" s="13">
        <f t="shared" si="14"/>
        <v>4084</v>
      </c>
      <c r="L35" s="212">
        <f t="shared" si="14"/>
        <v>4084</v>
      </c>
    </row>
    <row r="36" spans="1:18">
      <c r="A36" s="72" t="s">
        <v>64</v>
      </c>
      <c r="C36" s="21">
        <v>1833</v>
      </c>
      <c r="D36" s="21">
        <v>2821</v>
      </c>
      <c r="E36" s="21">
        <v>2914</v>
      </c>
      <c r="F36" s="21">
        <v>2639</v>
      </c>
      <c r="G36" s="38">
        <v>2469</v>
      </c>
      <c r="H36" s="13">
        <f>G36</f>
        <v>2469</v>
      </c>
      <c r="I36" s="13">
        <f t="shared" si="14"/>
        <v>2469</v>
      </c>
      <c r="J36" s="13">
        <f t="shared" si="14"/>
        <v>2469</v>
      </c>
      <c r="K36" s="13">
        <f t="shared" si="14"/>
        <v>2469</v>
      </c>
      <c r="L36" s="212">
        <f t="shared" si="14"/>
        <v>2469</v>
      </c>
    </row>
    <row r="37" spans="1:18">
      <c r="A37" s="72"/>
      <c r="C37" s="13"/>
      <c r="D37" s="13"/>
      <c r="E37" s="13"/>
      <c r="F37" s="13"/>
      <c r="G37" s="38"/>
      <c r="H37" s="13"/>
      <c r="I37" s="13"/>
      <c r="J37" s="13"/>
      <c r="K37" s="13"/>
      <c r="L37" s="212"/>
    </row>
    <row r="38" spans="1:18">
      <c r="A38" s="72" t="s">
        <v>65</v>
      </c>
      <c r="C38" s="21">
        <v>19299</v>
      </c>
      <c r="D38" s="21">
        <v>22999</v>
      </c>
      <c r="E38" s="21">
        <v>24105</v>
      </c>
      <c r="F38" s="21">
        <v>25941</v>
      </c>
      <c r="G38" s="38">
        <v>24856</v>
      </c>
      <c r="H38" s="13">
        <f ca="1">G38+'P&amp;L'!H40-'P&amp;L'!H59</f>
        <v>28517.601390101932</v>
      </c>
      <c r="I38" s="13">
        <f ca="1">H38+'P&amp;L'!I40-'P&amp;L'!I59</f>
        <v>32619.578836558409</v>
      </c>
      <c r="J38" s="13">
        <f ca="1">I38+'P&amp;L'!J40-'P&amp;L'!J59</f>
        <v>37251.883099010047</v>
      </c>
      <c r="K38" s="13">
        <f ca="1">J38+'P&amp;L'!K40-'P&amp;L'!K59</f>
        <v>42448.880803026455</v>
      </c>
      <c r="L38" s="212">
        <f ca="1">K38+'P&amp;L'!L40-'P&amp;L'!L59</f>
        <v>48217.595254469961</v>
      </c>
    </row>
    <row r="39" spans="1:18">
      <c r="A39" s="72" t="s">
        <v>66</v>
      </c>
      <c r="C39" s="21">
        <v>1985</v>
      </c>
      <c r="D39" s="21">
        <v>1861</v>
      </c>
      <c r="E39" s="21">
        <v>1721</v>
      </c>
      <c r="F39" s="21">
        <v>1539</v>
      </c>
      <c r="G39" s="38">
        <v>1516</v>
      </c>
      <c r="H39" s="13">
        <f ca="1">G39+'P&amp;L'!H39</f>
        <v>1539.8562641958079</v>
      </c>
      <c r="I39" s="13">
        <f ca="1">H39+'P&amp;L'!I39</f>
        <v>1566.5816903856824</v>
      </c>
      <c r="J39" s="13">
        <f ca="1">I39+'P&amp;L'!J39</f>
        <v>1596.7623306430144</v>
      </c>
      <c r="K39" s="13">
        <f ca="1">J39+'P&amp;L'!K39</f>
        <v>1630.6220922727671</v>
      </c>
      <c r="L39" s="212">
        <f ca="1">K39+'P&amp;L'!L39</f>
        <v>1668.2067338986487</v>
      </c>
    </row>
    <row r="40" spans="1:18" s="1" customFormat="1">
      <c r="A40" s="210" t="s">
        <v>67</v>
      </c>
      <c r="B40" s="6"/>
      <c r="C40" s="40">
        <f>C38+C39</f>
        <v>21284</v>
      </c>
      <c r="D40" s="40">
        <f>D38+D39</f>
        <v>24860</v>
      </c>
      <c r="E40" s="40">
        <f t="shared" ref="E40:L40" si="15">E38+E39</f>
        <v>25826</v>
      </c>
      <c r="F40" s="40">
        <f t="shared" si="15"/>
        <v>27480</v>
      </c>
      <c r="G40" s="41">
        <f t="shared" si="15"/>
        <v>26372</v>
      </c>
      <c r="H40" s="40">
        <f t="shared" ca="1" si="15"/>
        <v>30057.457654297741</v>
      </c>
      <c r="I40" s="40">
        <f t="shared" ca="1" si="15"/>
        <v>34186.160526944092</v>
      </c>
      <c r="J40" s="40">
        <f t="shared" ca="1" si="15"/>
        <v>38848.645429653065</v>
      </c>
      <c r="K40" s="40">
        <f t="shared" ca="1" si="15"/>
        <v>44079.502895299222</v>
      </c>
      <c r="L40" s="214">
        <f t="shared" ca="1" si="15"/>
        <v>49885.801988368607</v>
      </c>
    </row>
    <row r="41" spans="1:18" s="1" customFormat="1">
      <c r="A41" s="222" t="s">
        <v>68</v>
      </c>
      <c r="B41" s="15"/>
      <c r="C41" s="16">
        <f t="shared" ref="C41" si="16">C40+SUM(C33:C36)</f>
        <v>87296</v>
      </c>
      <c r="D41" s="16">
        <f>D40+SUM(D33:D36)</f>
        <v>94354</v>
      </c>
      <c r="E41" s="16">
        <f>E40+SUM(E33:E36)</f>
        <v>92763</v>
      </c>
      <c r="F41" s="16">
        <f>F40+SUM(F33:F36)</f>
        <v>97703</v>
      </c>
      <c r="G41" s="47">
        <f>G40+SUM(G33:G36)</f>
        <v>100549</v>
      </c>
      <c r="H41" s="16">
        <f ca="1">H40+SUM(H33:H36)</f>
        <v>102714.11462902084</v>
      </c>
      <c r="I41" s="16">
        <f t="shared" ref="I41:L41" ca="1" si="17">I40+SUM(I33:I36)</f>
        <v>105231.52119492838</v>
      </c>
      <c r="J41" s="16">
        <f t="shared" ca="1" si="17"/>
        <v>108109.94169014061</v>
      </c>
      <c r="K41" s="16">
        <f t="shared" ca="1" si="17"/>
        <v>117038.2618216413</v>
      </c>
      <c r="L41" s="223">
        <f t="shared" ca="1" si="17"/>
        <v>121412.59416058486</v>
      </c>
      <c r="N41" s="307"/>
      <c r="O41" s="307"/>
      <c r="P41" s="307"/>
      <c r="Q41" s="307"/>
      <c r="R41" s="307"/>
    </row>
    <row r="42" spans="1:18">
      <c r="A42" s="72"/>
      <c r="C42" s="13"/>
      <c r="D42" s="13"/>
      <c r="E42" s="13"/>
      <c r="F42" s="13"/>
      <c r="G42" s="38"/>
      <c r="H42" s="13"/>
      <c r="I42" s="13"/>
      <c r="J42" s="13"/>
      <c r="K42" s="13"/>
      <c r="L42" s="144"/>
    </row>
    <row r="43" spans="1:18">
      <c r="A43" s="72" t="s">
        <v>71</v>
      </c>
      <c r="C43" s="13">
        <f>C41-C25</f>
        <v>0</v>
      </c>
      <c r="D43" s="13">
        <f t="shared" ref="D43:G43" si="18">D41-D25</f>
        <v>0</v>
      </c>
      <c r="E43" s="13">
        <f t="shared" si="18"/>
        <v>0</v>
      </c>
      <c r="F43" s="13">
        <f>F41-F25</f>
        <v>0</v>
      </c>
      <c r="G43" s="38">
        <f t="shared" si="18"/>
        <v>0</v>
      </c>
      <c r="H43" s="13"/>
      <c r="I43" s="13"/>
      <c r="J43" s="13"/>
      <c r="K43" s="13"/>
      <c r="L43" s="144"/>
    </row>
    <row r="44" spans="1:18">
      <c r="A44" s="72"/>
      <c r="C44" s="13"/>
      <c r="D44" s="13"/>
      <c r="E44" s="13"/>
      <c r="F44" s="13"/>
      <c r="G44" s="38"/>
      <c r="H44" s="13"/>
      <c r="I44" s="13"/>
      <c r="J44" s="13"/>
      <c r="K44" s="13"/>
      <c r="L44" s="144"/>
    </row>
    <row r="45" spans="1:18">
      <c r="A45" s="72" t="s">
        <v>29</v>
      </c>
      <c r="C45" s="13"/>
      <c r="D45" s="13"/>
      <c r="E45" s="13"/>
      <c r="F45" s="13"/>
      <c r="G45" s="38"/>
      <c r="H45" s="13"/>
      <c r="I45" s="13"/>
      <c r="J45" s="13"/>
      <c r="K45" s="13"/>
      <c r="L45" s="144"/>
    </row>
    <row r="46" spans="1:18">
      <c r="A46" s="210" t="s">
        <v>87</v>
      </c>
      <c r="C46" s="13"/>
      <c r="D46" s="13"/>
      <c r="E46" s="13"/>
      <c r="F46" s="13"/>
      <c r="G46" s="38"/>
      <c r="H46" s="13"/>
      <c r="I46" s="13"/>
      <c r="J46" s="13"/>
      <c r="K46" s="13"/>
      <c r="L46" s="144"/>
    </row>
    <row r="47" spans="1:18">
      <c r="A47" s="226" t="s">
        <v>42</v>
      </c>
      <c r="B47" s="4" t="s">
        <v>69</v>
      </c>
      <c r="C47" s="13">
        <f>C11</f>
        <v>3144</v>
      </c>
      <c r="D47" s="13">
        <f t="shared" ref="D47:G47" si="19">D11</f>
        <v>3512</v>
      </c>
      <c r="E47" s="13">
        <f t="shared" si="19"/>
        <v>3487</v>
      </c>
      <c r="F47" s="13">
        <f t="shared" si="19"/>
        <v>3410</v>
      </c>
      <c r="G47" s="38">
        <f t="shared" si="19"/>
        <v>3569</v>
      </c>
      <c r="H47" s="13">
        <f ca="1">'P&amp;L'!H7/H48</f>
        <v>3926.1691109435928</v>
      </c>
      <c r="I47" s="13">
        <f ca="1">'P&amp;L'!I7/I48</f>
        <v>4307.6363772076074</v>
      </c>
      <c r="J47" s="13">
        <f ca="1">'P&amp;L'!J7/J48</f>
        <v>4697.9885309303381</v>
      </c>
      <c r="K47" s="13">
        <f ca="1">'P&amp;L'!K7/K48</f>
        <v>5089.6373656516689</v>
      </c>
      <c r="L47" s="212">
        <f ca="1">'P&amp;L'!L7/L48</f>
        <v>5474.0757088452337</v>
      </c>
    </row>
    <row r="48" spans="1:18">
      <c r="A48" s="226" t="s">
        <v>89</v>
      </c>
      <c r="C48" s="25">
        <f>'P&amp;L'!C7/C47</f>
        <v>10.49586513994911</v>
      </c>
      <c r="D48" s="25">
        <f>'P&amp;L'!D7/D47</f>
        <v>11.007403189066059</v>
      </c>
      <c r="E48" s="25">
        <f>'P&amp;L'!E7/E47</f>
        <v>12.344708918841411</v>
      </c>
      <c r="F48" s="25">
        <f>'P&amp;L'!F7/F47</f>
        <v>13.426392961876832</v>
      </c>
      <c r="G48" s="43">
        <f>'P&amp;L'!G7/G47</f>
        <v>13.140095264780051</v>
      </c>
      <c r="H48" s="25">
        <f ca="1">365/H49</f>
        <v>13.327747444250582</v>
      </c>
      <c r="I48" s="25">
        <f ca="1">365/I49</f>
        <v>13.520836951679724</v>
      </c>
      <c r="J48" s="25">
        <f ca="1">365/J49</f>
        <v>13.719603585693902</v>
      </c>
      <c r="K48" s="25">
        <f ca="1">365/K49</f>
        <v>13.924301456198391</v>
      </c>
      <c r="L48" s="144">
        <f ca="1">365/L49</f>
        <v>14.135200068176344</v>
      </c>
    </row>
    <row r="49" spans="1:12">
      <c r="A49" s="226" t="s">
        <v>90</v>
      </c>
      <c r="B49" s="4" t="s">
        <v>91</v>
      </c>
      <c r="C49" s="13">
        <f>365/C48</f>
        <v>34.775599260583654</v>
      </c>
      <c r="D49" s="13">
        <f t="shared" ref="D49:G49" si="20">365/D48</f>
        <v>33.159501267525478</v>
      </c>
      <c r="E49" s="13">
        <f t="shared" si="20"/>
        <v>29.567323328532268</v>
      </c>
      <c r="F49" s="13">
        <f t="shared" si="20"/>
        <v>27.18526122662939</v>
      </c>
      <c r="G49" s="38">
        <f t="shared" si="20"/>
        <v>27.777576390813909</v>
      </c>
      <c r="H49" s="13">
        <f ca="1">G49-($G$49-$L$49)/5</f>
        <v>27.386473335181353</v>
      </c>
      <c r="I49" s="13">
        <f t="shared" ref="I49:L49" ca="1" si="21">H49-($G$49-$L$49)/5</f>
        <v>26.995370279548798</v>
      </c>
      <c r="J49" s="13">
        <f t="shared" ca="1" si="21"/>
        <v>26.604267223916242</v>
      </c>
      <c r="K49" s="13">
        <f t="shared" ca="1" si="21"/>
        <v>26.213164168283686</v>
      </c>
      <c r="L49" s="212">
        <f t="shared" ca="1" si="21"/>
        <v>25.822061112651131</v>
      </c>
    </row>
    <row r="50" spans="1:12">
      <c r="A50" s="226"/>
      <c r="C50" s="25"/>
      <c r="D50" s="25"/>
      <c r="E50" s="25"/>
      <c r="F50" s="25"/>
      <c r="G50" s="43"/>
      <c r="H50" s="25"/>
      <c r="I50" s="25"/>
      <c r="J50" s="25"/>
      <c r="K50" s="25"/>
      <c r="L50" s="144"/>
    </row>
    <row r="51" spans="1:12">
      <c r="A51" s="226" t="s">
        <v>43</v>
      </c>
      <c r="C51" s="13">
        <f t="shared" ref="C51:F51" si="22">C12</f>
        <v>3266</v>
      </c>
      <c r="D51" s="13">
        <f t="shared" si="22"/>
        <v>3414</v>
      </c>
      <c r="E51" s="13">
        <f t="shared" si="22"/>
        <v>4233</v>
      </c>
      <c r="F51" s="13">
        <f t="shared" si="22"/>
        <v>4424</v>
      </c>
      <c r="G51" s="38">
        <f t="shared" ref="G51" si="23">G12</f>
        <v>4728</v>
      </c>
      <c r="H51" s="13">
        <f>'P&amp;L'!H11/H52</f>
        <v>5438.7273379372473</v>
      </c>
      <c r="I51" s="13">
        <f>'P&amp;L'!I11/I52</f>
        <v>6053.6058664062693</v>
      </c>
      <c r="J51" s="13">
        <f>'P&amp;L'!J11/J52</f>
        <v>6699.2324250991505</v>
      </c>
      <c r="K51" s="13">
        <f>'P&amp;L'!K11/K52</f>
        <v>7366.0012382343375</v>
      </c>
      <c r="L51" s="212">
        <f>'P&amp;L'!L11/L52</f>
        <v>8042.3744487110198</v>
      </c>
    </row>
    <row r="52" spans="1:12">
      <c r="A52" s="226" t="s">
        <v>92</v>
      </c>
      <c r="C52" s="25">
        <f>'P&amp;L'!C9/'Balance Sheet'!C51</f>
        <v>4.1129822412737296</v>
      </c>
      <c r="D52" s="25">
        <f>'P&amp;L'!D9/'Balance Sheet'!D51</f>
        <v>4.4982425307557117</v>
      </c>
      <c r="E52" s="25">
        <f>'P&amp;L'!E9/'Balance Sheet'!E51</f>
        <v>4.2523033309709426</v>
      </c>
      <c r="F52" s="25">
        <f>'P&amp;L'!F9/'Balance Sheet'!F51</f>
        <v>4.1862567811934897</v>
      </c>
      <c r="G52" s="43">
        <f>'P&amp;L'!G9/'Balance Sheet'!G51</f>
        <v>3.8756345177664975</v>
      </c>
      <c r="H52" s="25">
        <f>365/H53</f>
        <v>3.8756345177664975</v>
      </c>
      <c r="I52" s="25">
        <f>365/I53</f>
        <v>3.8756345177664975</v>
      </c>
      <c r="J52" s="25">
        <f>365/J53</f>
        <v>3.8756345177664975</v>
      </c>
      <c r="K52" s="25">
        <f>365/K53</f>
        <v>3.8756345177664975</v>
      </c>
      <c r="L52" s="144">
        <f>365/L53</f>
        <v>3.8756345177664975</v>
      </c>
    </row>
    <row r="53" spans="1:12">
      <c r="A53" s="226" t="s">
        <v>93</v>
      </c>
      <c r="B53" s="4" t="s">
        <v>91</v>
      </c>
      <c r="C53" s="13">
        <f>365/C52</f>
        <v>88.743393136306111</v>
      </c>
      <c r="D53" s="13">
        <f t="shared" ref="D53:F53" si="24">365/D52</f>
        <v>81.142801328384451</v>
      </c>
      <c r="E53" s="13">
        <f t="shared" si="24"/>
        <v>85.835833333333326</v>
      </c>
      <c r="F53" s="13">
        <f t="shared" si="24"/>
        <v>87.190064794816422</v>
      </c>
      <c r="G53" s="38">
        <f>365/G52</f>
        <v>94.1781270464964</v>
      </c>
      <c r="H53" s="13">
        <f>G53</f>
        <v>94.1781270464964</v>
      </c>
      <c r="I53" s="13">
        <f>H53</f>
        <v>94.1781270464964</v>
      </c>
      <c r="J53" s="13">
        <f>I53</f>
        <v>94.1781270464964</v>
      </c>
      <c r="K53" s="13">
        <f>J53</f>
        <v>94.1781270464964</v>
      </c>
      <c r="L53" s="144">
        <f>K53</f>
        <v>94.1781270464964</v>
      </c>
    </row>
    <row r="54" spans="1:12">
      <c r="A54" s="226"/>
      <c r="C54" s="13"/>
      <c r="D54" s="13"/>
      <c r="E54" s="13"/>
      <c r="F54" s="13"/>
      <c r="G54" s="38"/>
      <c r="H54" s="13"/>
      <c r="I54" s="13"/>
      <c r="J54" s="13"/>
      <c r="K54" s="13"/>
      <c r="L54" s="144"/>
    </row>
    <row r="55" spans="1:12">
      <c r="A55" s="226" t="s">
        <v>237</v>
      </c>
      <c r="C55" s="13"/>
      <c r="D55" s="13"/>
      <c r="E55" s="13"/>
      <c r="F55" s="13"/>
      <c r="G55" s="38"/>
      <c r="H55" s="336">
        <f ca="1">H14+SUM(H16:H22)+H24</f>
        <v>95193.957061153575</v>
      </c>
      <c r="I55" s="336">
        <f t="shared" ref="I55:L55" ca="1" si="25">I14+SUM(I16:I22)+I24</f>
        <v>99488.588966921568</v>
      </c>
      <c r="J55" s="336">
        <f t="shared" ca="1" si="25"/>
        <v>104430.99997631487</v>
      </c>
      <c r="K55" s="336">
        <f t="shared" ca="1" si="25"/>
        <v>108672.40560613379</v>
      </c>
      <c r="L55" s="336">
        <f t="shared" ca="1" si="25"/>
        <v>111114.86699674939</v>
      </c>
    </row>
    <row r="56" spans="1:12">
      <c r="A56" s="226" t="s">
        <v>44</v>
      </c>
      <c r="C56" s="13">
        <f t="shared" ref="C56:F56" si="26">C13</f>
        <v>1916</v>
      </c>
      <c r="D56" s="13">
        <f t="shared" si="26"/>
        <v>2994</v>
      </c>
      <c r="E56" s="13">
        <f t="shared" si="26"/>
        <v>3240</v>
      </c>
      <c r="F56" s="13">
        <f t="shared" si="26"/>
        <v>5235</v>
      </c>
      <c r="G56" s="38">
        <f t="shared" ref="G56" si="27">G13</f>
        <v>3129</v>
      </c>
      <c r="H56" s="13">
        <f>H57*SUM('P&amp;L'!H11,'P&amp;L'!H16)</f>
        <v>3520.9793005436813</v>
      </c>
      <c r="I56" s="13">
        <f>I57*SUM('P&amp;L'!I11,'P&amp;L'!I16)</f>
        <v>3919.0456930224227</v>
      </c>
      <c r="J56" s="13">
        <f>J57*SUM('P&amp;L'!J11,'P&amp;L'!J16)</f>
        <v>4337.0180618856612</v>
      </c>
      <c r="K56" s="13">
        <f>K57*SUM('P&amp;L'!K11,'P&amp;L'!K16)</f>
        <v>4768.6777211079743</v>
      </c>
      <c r="L56" s="212">
        <f>L57*SUM('P&amp;L'!L11,'P&amp;L'!L16)</f>
        <v>5206.5551739669927</v>
      </c>
    </row>
    <row r="57" spans="1:12">
      <c r="A57" s="226" t="s">
        <v>149</v>
      </c>
      <c r="C57" s="48">
        <f>C56/SUM('P&amp;L'!C9,'P&amp;L'!C14)</f>
        <v>8.2714557071317557E-2</v>
      </c>
      <c r="D57" s="48">
        <f>D56/SUM('P&amp;L'!D9,'P&amp;L'!D14)</f>
        <v>0.10886876840842151</v>
      </c>
      <c r="E57" s="48">
        <f>E56/SUM('P&amp;L'!E9,'P&amp;L'!E14)</f>
        <v>0.10492227979274611</v>
      </c>
      <c r="F57" s="48">
        <f>F56/SUM('P&amp;L'!F9,'P&amp;L'!F14)</f>
        <v>0.16111658254339531</v>
      </c>
      <c r="G57" s="49">
        <f>G56/SUM('P&amp;L'!G9,'P&amp;L'!G14)</f>
        <v>9.5089041512186223E-2</v>
      </c>
      <c r="H57" s="48">
        <f>G57</f>
        <v>9.5089041512186223E-2</v>
      </c>
      <c r="I57" s="48">
        <f>H57</f>
        <v>9.5089041512186223E-2</v>
      </c>
      <c r="J57" s="48">
        <f>I57</f>
        <v>9.5089041512186223E-2</v>
      </c>
      <c r="K57" s="48">
        <f>J57</f>
        <v>9.5089041512186223E-2</v>
      </c>
      <c r="L57" s="227">
        <f>K57</f>
        <v>9.5089041512186223E-2</v>
      </c>
    </row>
    <row r="58" spans="1:12">
      <c r="A58" s="226"/>
      <c r="C58" s="13"/>
      <c r="D58" s="13"/>
      <c r="E58" s="13"/>
      <c r="F58" s="13"/>
      <c r="G58" s="38"/>
      <c r="H58" s="13"/>
      <c r="I58" s="13"/>
      <c r="J58" s="13"/>
      <c r="K58" s="13"/>
      <c r="L58" s="144"/>
    </row>
    <row r="59" spans="1:12">
      <c r="A59" s="228" t="s">
        <v>88</v>
      </c>
      <c r="C59" s="13"/>
      <c r="D59" s="13"/>
      <c r="E59" s="13"/>
      <c r="F59" s="13"/>
      <c r="G59" s="38"/>
      <c r="H59" s="13"/>
      <c r="I59" s="13"/>
      <c r="J59" s="13"/>
      <c r="K59" s="13"/>
      <c r="L59" s="144"/>
    </row>
    <row r="60" spans="1:12">
      <c r="A60" s="72" t="s">
        <v>57</v>
      </c>
      <c r="C60" s="13">
        <f>C29</f>
        <v>11145</v>
      </c>
      <c r="D60" s="13">
        <f t="shared" ref="D60:F60" si="28">D29</f>
        <v>14619</v>
      </c>
      <c r="E60" s="13">
        <f t="shared" si="28"/>
        <v>15749</v>
      </c>
      <c r="F60" s="13">
        <f t="shared" si="28"/>
        <v>15485</v>
      </c>
      <c r="G60" s="38">
        <f>G29</f>
        <v>21715</v>
      </c>
      <c r="H60" s="13">
        <f>H61*'P&amp;L'!H11</f>
        <v>25075.054719503838</v>
      </c>
      <c r="I60" s="13">
        <f>I61*'P&amp;L'!I11</f>
        <v>27909.929827079352</v>
      </c>
      <c r="J60" s="13">
        <f>J61*'P&amp;L'!J11</f>
        <v>30886.567610456266</v>
      </c>
      <c r="K60" s="13">
        <f>K61*'P&amp;L'!K11</f>
        <v>33960.680989518318</v>
      </c>
      <c r="L60" s="212">
        <f>L61*'P&amp;L'!L11</f>
        <v>37079.075093448846</v>
      </c>
    </row>
    <row r="61" spans="1:12">
      <c r="A61" s="72" t="s">
        <v>94</v>
      </c>
      <c r="C61" s="48">
        <f>C60/'P&amp;L'!C11</f>
        <v>0.82567787820417837</v>
      </c>
      <c r="D61" s="48">
        <f>D60/'P&amp;L'!D11</f>
        <v>0.94866969500324461</v>
      </c>
      <c r="E61" s="48">
        <f>E60/'P&amp;L'!E11</f>
        <v>0.88393107706123364</v>
      </c>
      <c r="F61" s="48">
        <f>F60/'P&amp;L'!F11</f>
        <v>0.83861359328459251</v>
      </c>
      <c r="G61" s="49">
        <f>G60/'P&amp;L'!G11</f>
        <v>1.1896022789525584</v>
      </c>
      <c r="H61" s="48">
        <f>G61</f>
        <v>1.1896022789525584</v>
      </c>
      <c r="I61" s="48">
        <f>H61</f>
        <v>1.1896022789525584</v>
      </c>
      <c r="J61" s="48">
        <f>I61</f>
        <v>1.1896022789525584</v>
      </c>
      <c r="K61" s="48">
        <f>J61</f>
        <v>1.1896022789525584</v>
      </c>
      <c r="L61" s="227">
        <f>K61</f>
        <v>1.1896022789525584</v>
      </c>
    </row>
    <row r="62" spans="1:12">
      <c r="A62" s="72"/>
      <c r="C62" s="13"/>
      <c r="D62" s="13"/>
      <c r="E62" s="13"/>
      <c r="F62" s="13"/>
      <c r="G62" s="38"/>
      <c r="H62" s="13"/>
      <c r="I62" s="13"/>
      <c r="J62" s="13"/>
      <c r="K62" s="13"/>
      <c r="L62" s="144"/>
    </row>
    <row r="63" spans="1:12">
      <c r="A63" s="72" t="s">
        <v>60</v>
      </c>
      <c r="C63" s="13">
        <f>C32</f>
        <v>788</v>
      </c>
      <c r="D63" s="13">
        <f t="shared" ref="D63:F63" si="29">D32</f>
        <v>686</v>
      </c>
      <c r="E63" s="13">
        <f t="shared" si="29"/>
        <v>1203</v>
      </c>
      <c r="F63" s="13">
        <f t="shared" si="29"/>
        <v>1569</v>
      </c>
      <c r="G63" s="38">
        <f>G32</f>
        <v>1387</v>
      </c>
      <c r="H63" s="13">
        <f ca="1">H64*'P&amp;L'!H37</f>
        <v>1383.3618303302367</v>
      </c>
      <c r="I63" s="13">
        <f ca="1">I64*'P&amp;L'!I37</f>
        <v>1589.7381738746394</v>
      </c>
      <c r="J63" s="13">
        <f ca="1">J64*'P&amp;L'!J37</f>
        <v>1919.5218049750727</v>
      </c>
      <c r="K63" s="13">
        <f ca="1">K64*'P&amp;L'!K37</f>
        <v>2165.289281694274</v>
      </c>
      <c r="L63" s="212">
        <f ca="1">L64*'P&amp;L'!L37</f>
        <v>2320.2387780258905</v>
      </c>
    </row>
    <row r="64" spans="1:12">
      <c r="A64" s="72" t="s">
        <v>125</v>
      </c>
      <c r="C64" s="48">
        <f>C63/'P&amp;L'!C37</f>
        <v>0.385896180215475</v>
      </c>
      <c r="D64" s="48">
        <f>D63/'P&amp;L'!D37</f>
        <v>0.2972270363951473</v>
      </c>
      <c r="E64" s="48">
        <f>E63/'P&amp;L'!E37</f>
        <v>0.47269155206286839</v>
      </c>
      <c r="F64" s="48">
        <f>F63/'P&amp;L'!F37</f>
        <v>0.57325538911216656</v>
      </c>
      <c r="G64" s="49">
        <f>G63/'P&amp;L'!G37</f>
        <v>0.48632538569424966</v>
      </c>
      <c r="H64" s="48">
        <f>AVERAGE(C64:G64)</f>
        <v>0.44307910869598138</v>
      </c>
      <c r="I64" s="48">
        <f t="shared" ref="I64:L64" si="30">AVERAGE(D64:H64)</f>
        <v>0.45451569439208273</v>
      </c>
      <c r="J64" s="48">
        <f t="shared" si="30"/>
        <v>0.48597342599146975</v>
      </c>
      <c r="K64" s="48">
        <f t="shared" si="30"/>
        <v>0.48862980077719004</v>
      </c>
      <c r="L64" s="227">
        <f t="shared" si="30"/>
        <v>0.4717046831101947</v>
      </c>
    </row>
    <row r="65" spans="1:12">
      <c r="A65" s="72"/>
      <c r="C65" s="13"/>
      <c r="D65" s="13"/>
      <c r="E65" s="13"/>
      <c r="F65" s="13"/>
      <c r="G65" s="38"/>
      <c r="H65" s="13"/>
      <c r="I65" s="13"/>
      <c r="J65" s="13"/>
      <c r="K65" s="13"/>
      <c r="L65" s="144"/>
    </row>
    <row r="66" spans="1:12">
      <c r="A66" s="72" t="s">
        <v>151</v>
      </c>
      <c r="C66" s="25">
        <f>(C34+C31)/'P&amp;L'!C56</f>
        <v>3.5918981071997171</v>
      </c>
      <c r="D66" s="25">
        <f>(D34+D31)/'P&amp;L'!D56</f>
        <v>3.1409919592389142</v>
      </c>
      <c r="E66" s="25">
        <f>(E34+E31)/'P&amp;L'!E56</f>
        <v>2.7031238515251745</v>
      </c>
      <c r="F66" s="25">
        <f>(F34+F31)/'P&amp;L'!F56</f>
        <v>2.5931277654867255</v>
      </c>
      <c r="G66" s="43">
        <f>(G34+G31)/'P&amp;L'!G56</f>
        <v>2.8379287598944591</v>
      </c>
      <c r="H66" s="25">
        <f>G66-($G$66-$L$66)/5</f>
        <v>2.4703430079155675</v>
      </c>
      <c r="I66" s="25">
        <f t="shared" ref="I66:K66" si="31">H66-($G$66-$L$66)/5</f>
        <v>2.1027572559366758</v>
      </c>
      <c r="J66" s="25">
        <f t="shared" si="31"/>
        <v>1.735171503957784</v>
      </c>
      <c r="K66" s="25">
        <f t="shared" si="31"/>
        <v>1.3675857519788921</v>
      </c>
      <c r="L66" s="144">
        <v>1</v>
      </c>
    </row>
    <row r="67" spans="1:12" ht="16" thickBot="1">
      <c r="A67" s="105" t="s">
        <v>152</v>
      </c>
      <c r="B67" s="157"/>
      <c r="C67" s="229">
        <f>C30/SUM(C31,C34)</f>
        <v>5.3755232701305097E-2</v>
      </c>
      <c r="D67" s="229">
        <f t="shared" ref="D67:F67" si="32">D30/SUM(D31,D34)</f>
        <v>8.3819131140061842E-2</v>
      </c>
      <c r="E67" s="229">
        <f t="shared" si="32"/>
        <v>6.4525777681096366E-2</v>
      </c>
      <c r="F67" s="229">
        <f t="shared" si="32"/>
        <v>0.1214973205001733</v>
      </c>
      <c r="G67" s="230">
        <f>G30/SUM(G31,G34)</f>
        <v>3.4841828789252259E-2</v>
      </c>
      <c r="H67" s="229">
        <f>G67</f>
        <v>3.4841828789252259E-2</v>
      </c>
      <c r="I67" s="229">
        <f>H67</f>
        <v>3.4841828789252259E-2</v>
      </c>
      <c r="J67" s="229">
        <f>I67</f>
        <v>3.4841828789252259E-2</v>
      </c>
      <c r="K67" s="229">
        <f>J67</f>
        <v>3.4841828789252259E-2</v>
      </c>
      <c r="L67" s="231">
        <f>K67</f>
        <v>3.4841828789252259E-2</v>
      </c>
    </row>
    <row r="68" spans="1:12">
      <c r="C68" s="25"/>
      <c r="D68" s="25"/>
      <c r="E68" s="25"/>
      <c r="F68" s="25"/>
      <c r="G68" s="25"/>
      <c r="H68" s="3"/>
      <c r="I68" s="3"/>
      <c r="J68" s="3"/>
      <c r="K68" s="3"/>
    </row>
    <row r="69" spans="1:12">
      <c r="C69" s="24"/>
      <c r="D69" s="24"/>
      <c r="E69" s="24"/>
      <c r="F69" s="24"/>
      <c r="G69" s="24"/>
      <c r="H69" s="18"/>
      <c r="I69" s="18"/>
      <c r="J69" s="18"/>
      <c r="K69" s="18"/>
    </row>
    <row r="70" spans="1:12">
      <c r="C70" s="48"/>
      <c r="D70" s="48"/>
      <c r="E70" s="48"/>
      <c r="F70" s="48"/>
      <c r="G70" s="48"/>
      <c r="H70" s="17"/>
      <c r="I70" s="17"/>
      <c r="J70" s="17"/>
      <c r="K70" s="17"/>
    </row>
    <row r="71" spans="1:12">
      <c r="C71" s="48"/>
      <c r="D71" s="48"/>
      <c r="E71" s="48"/>
      <c r="F71" s="48"/>
      <c r="G71" s="232"/>
      <c r="H71" s="26"/>
      <c r="I71" s="26"/>
      <c r="J71" s="26"/>
      <c r="K71" s="26"/>
    </row>
    <row r="72" spans="1:12">
      <c r="C72" s="13"/>
      <c r="D72" s="13"/>
      <c r="E72" s="13"/>
      <c r="F72" s="13"/>
      <c r="G72" s="13"/>
    </row>
    <row r="73" spans="1:12">
      <c r="C73" s="13"/>
      <c r="D73" s="13"/>
      <c r="E73" s="13"/>
      <c r="F73" s="13"/>
      <c r="G73" s="13"/>
    </row>
  </sheetData>
  <mergeCells count="3">
    <mergeCell ref="A2:A3"/>
    <mergeCell ref="C2:G2"/>
    <mergeCell ref="H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6505-937A-4E73-BB97-A92AA7F0E59E}">
  <sheetPr>
    <tabColor theme="9" tint="0.39997558519241921"/>
  </sheetPr>
  <dimension ref="A1:H26"/>
  <sheetViews>
    <sheetView showGridLines="0" zoomScaleNormal="100" workbookViewId="0">
      <selection activeCell="C24" sqref="C24"/>
    </sheetView>
  </sheetViews>
  <sheetFormatPr baseColWidth="10" defaultColWidth="8.83203125" defaultRowHeight="15"/>
  <cols>
    <col min="1" max="1" width="42.5" customWidth="1"/>
    <col min="2" max="2" width="11.5" style="4" customWidth="1"/>
    <col min="3" max="7" width="11.5" style="5" customWidth="1"/>
    <col min="8" max="8" width="11.5" customWidth="1"/>
    <col min="9" max="9" width="10" customWidth="1"/>
  </cols>
  <sheetData>
    <row r="1" spans="1:8" ht="50" customHeight="1" thickBot="1">
      <c r="A1" s="79"/>
      <c r="B1" s="197"/>
      <c r="C1" s="79"/>
      <c r="D1" s="79"/>
      <c r="E1" s="79" t="s">
        <v>70</v>
      </c>
      <c r="F1" s="79"/>
      <c r="G1" s="79"/>
    </row>
    <row r="2" spans="1:8">
      <c r="A2" s="314" t="s">
        <v>1</v>
      </c>
      <c r="B2" s="89"/>
      <c r="C2" s="314" t="s">
        <v>3</v>
      </c>
      <c r="D2" s="312"/>
      <c r="E2" s="312"/>
      <c r="F2" s="312"/>
      <c r="G2" s="313"/>
    </row>
    <row r="3" spans="1:8" ht="16" thickBot="1">
      <c r="A3" s="315"/>
      <c r="B3" s="107" t="s">
        <v>2</v>
      </c>
      <c r="C3" s="293">
        <v>2025</v>
      </c>
      <c r="D3" s="92">
        <f>C3+1</f>
        <v>2026</v>
      </c>
      <c r="E3" s="92">
        <f t="shared" ref="E3:G3" si="0">D3+1</f>
        <v>2027</v>
      </c>
      <c r="F3" s="92">
        <f t="shared" si="0"/>
        <v>2028</v>
      </c>
      <c r="G3" s="93">
        <f t="shared" si="0"/>
        <v>2029</v>
      </c>
    </row>
    <row r="4" spans="1:8">
      <c r="A4" s="71"/>
      <c r="B4" s="254" t="s">
        <v>69</v>
      </c>
      <c r="C4" s="208"/>
      <c r="D4" s="208"/>
      <c r="E4" s="208"/>
      <c r="F4" s="208"/>
      <c r="G4" s="209"/>
      <c r="H4" s="2"/>
    </row>
    <row r="5" spans="1:8">
      <c r="A5" s="210" t="s">
        <v>62</v>
      </c>
      <c r="B5" s="255"/>
      <c r="C5" s="13"/>
      <c r="D5" s="11"/>
      <c r="E5" s="11"/>
      <c r="F5" s="11"/>
      <c r="G5" s="211"/>
    </row>
    <row r="6" spans="1:8">
      <c r="A6" s="72" t="s">
        <v>72</v>
      </c>
      <c r="B6" s="255"/>
      <c r="C6" s="56">
        <v>49970</v>
      </c>
      <c r="D6" s="13">
        <f>C9</f>
        <v>37450.400000000001</v>
      </c>
      <c r="E6" s="13">
        <f ca="1">D9</f>
        <v>34529.617641023411</v>
      </c>
      <c r="F6" s="13">
        <f ca="1">E9</f>
        <v>31606.962470123839</v>
      </c>
      <c r="G6" s="212">
        <f ca="1">F9</f>
        <v>27476.45858922859</v>
      </c>
    </row>
    <row r="7" spans="1:8">
      <c r="A7" s="72" t="s">
        <v>122</v>
      </c>
      <c r="B7" s="255"/>
      <c r="C7" s="13">
        <f>C9+C8-C6</f>
        <v>-10559.599999999999</v>
      </c>
      <c r="D7" s="13">
        <f t="shared" ref="D7:G7" ca="1" si="1">D9+D8-D6</f>
        <v>-1850.7823589765903</v>
      </c>
      <c r="E7" s="13">
        <f t="shared" ca="1" si="1"/>
        <v>-1112.6551708995758</v>
      </c>
      <c r="F7" s="13">
        <f t="shared" ca="1" si="1"/>
        <v>485.49611910475141</v>
      </c>
      <c r="G7" s="212">
        <f t="shared" ca="1" si="1"/>
        <v>-2669.7785224570544</v>
      </c>
    </row>
    <row r="8" spans="1:8">
      <c r="A8" s="72" t="s">
        <v>123</v>
      </c>
      <c r="B8" s="255"/>
      <c r="C8" s="13">
        <f>1960</f>
        <v>1960</v>
      </c>
      <c r="D8" s="58">
        <v>1070</v>
      </c>
      <c r="E8" s="58">
        <v>1810</v>
      </c>
      <c r="F8" s="58">
        <v>4616</v>
      </c>
      <c r="G8" s="294">
        <v>2770</v>
      </c>
    </row>
    <row r="9" spans="1:8" s="1" customFormat="1">
      <c r="A9" s="233" t="s">
        <v>121</v>
      </c>
      <c r="B9" s="262"/>
      <c r="C9" s="20">
        <f>C15*'P&amp;L'!G56</f>
        <v>37450.400000000001</v>
      </c>
      <c r="D9" s="20">
        <f ca="1">D15*'P&amp;L'!H56</f>
        <v>34529.617641023411</v>
      </c>
      <c r="E9" s="20">
        <f ca="1">E15*'P&amp;L'!I56</f>
        <v>31606.962470123839</v>
      </c>
      <c r="F9" s="20">
        <f ca="1">F15*'P&amp;L'!J56</f>
        <v>27476.45858922859</v>
      </c>
      <c r="G9" s="234">
        <f ca="1">G15*'P&amp;L'!K56</f>
        <v>22036.680066771536</v>
      </c>
    </row>
    <row r="10" spans="1:8">
      <c r="A10" s="72"/>
      <c r="B10" s="255"/>
      <c r="C10" s="13"/>
      <c r="D10" s="13"/>
      <c r="E10" s="13"/>
      <c r="F10" s="13"/>
      <c r="G10" s="212"/>
    </row>
    <row r="11" spans="1:8">
      <c r="A11" s="72" t="s">
        <v>124</v>
      </c>
      <c r="B11" s="255"/>
      <c r="C11" s="24">
        <f>3.4%</f>
        <v>3.4000000000000002E-2</v>
      </c>
      <c r="D11" s="24">
        <f t="shared" ref="D11:G11" si="2">3.4%</f>
        <v>3.4000000000000002E-2</v>
      </c>
      <c r="E11" s="24">
        <f t="shared" si="2"/>
        <v>3.4000000000000002E-2</v>
      </c>
      <c r="F11" s="24">
        <f t="shared" si="2"/>
        <v>3.4000000000000002E-2</v>
      </c>
      <c r="G11" s="84">
        <f t="shared" si="2"/>
        <v>3.4000000000000002E-2</v>
      </c>
      <c r="H11" s="18"/>
    </row>
    <row r="12" spans="1:8">
      <c r="A12" s="72"/>
      <c r="B12" s="255"/>
      <c r="C12" s="13"/>
      <c r="D12" s="13"/>
      <c r="E12" s="13"/>
      <c r="F12" s="13"/>
      <c r="G12" s="212"/>
    </row>
    <row r="13" spans="1:8">
      <c r="A13" s="72" t="s">
        <v>100</v>
      </c>
      <c r="B13" s="255"/>
      <c r="C13" s="13">
        <f>AVERAGE(C9,C6)*C11</f>
        <v>1486.1468</v>
      </c>
      <c r="D13" s="13">
        <f t="shared" ref="D13:G13" ca="1" si="3">AVERAGE(D9,D6)*D11</f>
        <v>1223.6602998973981</v>
      </c>
      <c r="E13" s="13">
        <f t="shared" ca="1" si="3"/>
        <v>1124.3218618895035</v>
      </c>
      <c r="F13" s="13">
        <f t="shared" ca="1" si="3"/>
        <v>1004.4181580089914</v>
      </c>
      <c r="G13" s="212">
        <f t="shared" ca="1" si="3"/>
        <v>841.72335715200222</v>
      </c>
    </row>
    <row r="14" spans="1:8">
      <c r="A14" s="72"/>
      <c r="B14" s="255"/>
      <c r="C14" s="13"/>
      <c r="D14" s="13"/>
      <c r="E14" s="13"/>
      <c r="F14" s="13"/>
      <c r="G14" s="212"/>
    </row>
    <row r="15" spans="1:8">
      <c r="A15" s="72" t="s">
        <v>150</v>
      </c>
      <c r="B15" s="255"/>
      <c r="C15" s="25">
        <f>'Balance Sheet'!H66</f>
        <v>2.4703430079155675</v>
      </c>
      <c r="D15" s="25">
        <f>'Balance Sheet'!I66</f>
        <v>2.1027572559366758</v>
      </c>
      <c r="E15" s="25">
        <f>'Balance Sheet'!J66</f>
        <v>1.735171503957784</v>
      </c>
      <c r="F15" s="25">
        <f>'Balance Sheet'!K66</f>
        <v>1.3675857519788921</v>
      </c>
      <c r="G15" s="235">
        <f>'Balance Sheet'!L66</f>
        <v>1</v>
      </c>
    </row>
    <row r="16" spans="1:8">
      <c r="A16" s="72"/>
      <c r="B16" s="255"/>
      <c r="C16" s="13"/>
      <c r="D16" s="13"/>
      <c r="E16" s="13"/>
      <c r="F16" s="13"/>
      <c r="G16" s="212"/>
    </row>
    <row r="17" spans="1:7">
      <c r="A17" s="210" t="s">
        <v>58</v>
      </c>
      <c r="B17" s="257"/>
      <c r="C17" s="13"/>
      <c r="D17" s="13"/>
      <c r="E17" s="13"/>
      <c r="F17" s="13"/>
      <c r="G17" s="212"/>
    </row>
    <row r="18" spans="1:7">
      <c r="A18" s="72" t="s">
        <v>72</v>
      </c>
      <c r="B18" s="255"/>
      <c r="C18" s="13">
        <f>'Balance Sheet'!G30</f>
        <v>1499</v>
      </c>
      <c r="D18" s="13">
        <f>C21</f>
        <v>1304.8404248890129</v>
      </c>
      <c r="E18" s="13">
        <f t="shared" ref="E18:G18" ca="1" si="4">D21</f>
        <v>1203.0750260068821</v>
      </c>
      <c r="F18" s="13">
        <f t="shared" ca="1" si="4"/>
        <v>1101.2443749323766</v>
      </c>
      <c r="G18" s="212">
        <f t="shared" ca="1" si="4"/>
        <v>957.33006590088223</v>
      </c>
    </row>
    <row r="19" spans="1:7">
      <c r="A19" s="72" t="s">
        <v>122</v>
      </c>
      <c r="B19" s="255"/>
      <c r="C19" s="13">
        <f>IF(C21&gt;C18,C21-C18,0)</f>
        <v>0</v>
      </c>
      <c r="D19" s="13">
        <f t="shared" ref="D19:G19" ca="1" si="5">IF(D21&gt;D18,D21-D18,0)</f>
        <v>0</v>
      </c>
      <c r="E19" s="13">
        <f t="shared" ca="1" si="5"/>
        <v>0</v>
      </c>
      <c r="F19" s="13">
        <f t="shared" ca="1" si="5"/>
        <v>0</v>
      </c>
      <c r="G19" s="212">
        <f t="shared" ca="1" si="5"/>
        <v>0</v>
      </c>
    </row>
    <row r="20" spans="1:7">
      <c r="A20" s="72" t="s">
        <v>123</v>
      </c>
      <c r="B20" s="255"/>
      <c r="C20" s="13">
        <f>IF(C21&lt;C18,C18-C21,0)</f>
        <v>194.15957511098713</v>
      </c>
      <c r="D20" s="13">
        <f t="shared" ref="D20:G20" ca="1" si="6">IF(D21&lt;D18,D18-D21,0)</f>
        <v>101.76539888213074</v>
      </c>
      <c r="E20" s="13">
        <f t="shared" ca="1" si="6"/>
        <v>101.83065107450557</v>
      </c>
      <c r="F20" s="13">
        <f t="shared" ca="1" si="6"/>
        <v>143.91430903149433</v>
      </c>
      <c r="G20" s="212">
        <f t="shared" ca="1" si="6"/>
        <v>189.53183193090035</v>
      </c>
    </row>
    <row r="21" spans="1:7" s="1" customFormat="1">
      <c r="A21" s="233" t="s">
        <v>121</v>
      </c>
      <c r="B21" s="262"/>
      <c r="C21" s="20">
        <f>C9*'Balance Sheet'!G67</f>
        <v>1304.8404248890129</v>
      </c>
      <c r="D21" s="20">
        <f ca="1">D9*'Balance Sheet'!H67</f>
        <v>1203.0750260068821</v>
      </c>
      <c r="E21" s="20">
        <f ca="1">E9*'Balance Sheet'!I67</f>
        <v>1101.2443749323766</v>
      </c>
      <c r="F21" s="20">
        <f ca="1">F9*'Balance Sheet'!J67</f>
        <v>957.33006590088223</v>
      </c>
      <c r="G21" s="234">
        <f ca="1">G9*'Balance Sheet'!K67</f>
        <v>767.79823396998188</v>
      </c>
    </row>
    <row r="22" spans="1:7">
      <c r="A22" s="72"/>
      <c r="B22" s="255"/>
      <c r="C22" s="13"/>
      <c r="D22" s="13"/>
      <c r="E22" s="13"/>
      <c r="F22" s="13"/>
      <c r="G22" s="212"/>
    </row>
    <row r="23" spans="1:7">
      <c r="A23" s="72"/>
      <c r="B23" s="255"/>
      <c r="C23" s="13"/>
      <c r="D23" s="13"/>
      <c r="E23" s="13"/>
      <c r="F23" s="13"/>
      <c r="G23" s="212"/>
    </row>
    <row r="24" spans="1:7">
      <c r="A24" s="72" t="s">
        <v>124</v>
      </c>
      <c r="B24" s="255"/>
      <c r="C24" s="295">
        <v>5.2999999999999999E-2</v>
      </c>
      <c r="D24" s="295">
        <v>5.2999999999999999E-2</v>
      </c>
      <c r="E24" s="295">
        <v>5.2999999999999999E-2</v>
      </c>
      <c r="F24" s="295">
        <v>5.2999999999999999E-2</v>
      </c>
      <c r="G24" s="296">
        <v>5.2999999999999999E-2</v>
      </c>
    </row>
    <row r="25" spans="1:7">
      <c r="A25" s="72"/>
      <c r="B25" s="255"/>
      <c r="C25" s="13"/>
      <c r="D25" s="13"/>
      <c r="E25" s="13"/>
      <c r="F25" s="13"/>
      <c r="G25" s="212"/>
    </row>
    <row r="26" spans="1:7" ht="16" thickBot="1">
      <c r="A26" s="105" t="s">
        <v>100</v>
      </c>
      <c r="B26" s="259"/>
      <c r="C26" s="85">
        <f>C24*AVERAGE(C21,C18)</f>
        <v>74.301771259558834</v>
      </c>
      <c r="D26" s="85">
        <f t="shared" ref="D26:G26" ca="1" si="7">D24*AVERAGE(D21,D18)</f>
        <v>66.45975944874121</v>
      </c>
      <c r="E26" s="85">
        <f t="shared" ca="1" si="7"/>
        <v>61.064464124890357</v>
      </c>
      <c r="F26" s="85">
        <f t="shared" ca="1" si="7"/>
        <v>54.552222682081357</v>
      </c>
      <c r="G26" s="216">
        <f t="shared" ca="1" si="7"/>
        <v>45.715899946577899</v>
      </c>
    </row>
  </sheetData>
  <mergeCells count="2">
    <mergeCell ref="C2:G2"/>
    <mergeCell ref="A2:A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E81B-30DF-418C-98C0-D0854531DB8C}">
  <sheetPr>
    <tabColor theme="9" tint="0.39997558519241921"/>
  </sheetPr>
  <dimension ref="A1:L3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5" sqref="G15"/>
    </sheetView>
  </sheetViews>
  <sheetFormatPr baseColWidth="10" defaultColWidth="8.83203125" defaultRowHeight="15"/>
  <cols>
    <col min="1" max="1" width="42.5" customWidth="1"/>
    <col min="2" max="2" width="11.5" style="4" customWidth="1"/>
    <col min="3" max="11" width="11.5" style="5" customWidth="1"/>
    <col min="12" max="12" width="11.5" customWidth="1"/>
    <col min="13" max="13" width="10" customWidth="1"/>
  </cols>
  <sheetData>
    <row r="1" spans="1:12" ht="50" customHeight="1" thickBot="1">
      <c r="A1" s="79"/>
      <c r="B1" s="197"/>
      <c r="C1" s="79"/>
      <c r="D1" s="79"/>
      <c r="E1" s="79"/>
      <c r="F1" s="79"/>
      <c r="G1" s="79"/>
      <c r="H1" s="79"/>
      <c r="I1" s="79" t="s">
        <v>70</v>
      </c>
      <c r="J1" s="79"/>
      <c r="K1" s="79"/>
      <c r="L1" s="79"/>
    </row>
    <row r="2" spans="1:12">
      <c r="A2" s="314" t="s">
        <v>1</v>
      </c>
      <c r="B2" s="89"/>
      <c r="C2" s="331" t="s">
        <v>4</v>
      </c>
      <c r="D2" s="332"/>
      <c r="E2" s="332"/>
      <c r="F2" s="332"/>
      <c r="G2" s="333"/>
      <c r="H2" s="335" t="s">
        <v>3</v>
      </c>
      <c r="I2" s="332"/>
      <c r="J2" s="332"/>
      <c r="K2" s="332"/>
      <c r="L2" s="334"/>
    </row>
    <row r="3" spans="1:12" ht="16" thickBot="1">
      <c r="A3" s="315"/>
      <c r="B3" s="107" t="s">
        <v>2</v>
      </c>
      <c r="C3" s="293">
        <v>2020</v>
      </c>
      <c r="D3" s="92">
        <f>C3+1</f>
        <v>2021</v>
      </c>
      <c r="E3" s="92">
        <f t="shared" ref="E3:G3" si="0">D3+1</f>
        <v>2022</v>
      </c>
      <c r="F3" s="92">
        <f t="shared" si="0"/>
        <v>2023</v>
      </c>
      <c r="G3" s="218">
        <f t="shared" si="0"/>
        <v>2024</v>
      </c>
      <c r="H3" s="92">
        <f>G3+1</f>
        <v>2025</v>
      </c>
      <c r="I3" s="92">
        <f t="shared" ref="I3:K3" si="1">H3+1</f>
        <v>2026</v>
      </c>
      <c r="J3" s="92">
        <f t="shared" si="1"/>
        <v>2027</v>
      </c>
      <c r="K3" s="92">
        <f t="shared" si="1"/>
        <v>2028</v>
      </c>
      <c r="L3" s="93">
        <f>K3+1</f>
        <v>2029</v>
      </c>
    </row>
    <row r="4" spans="1:12">
      <c r="A4" s="187"/>
      <c r="B4" s="189"/>
      <c r="C4" s="208"/>
      <c r="D4" s="208"/>
      <c r="E4" s="208"/>
      <c r="F4" s="208"/>
      <c r="G4" s="208"/>
      <c r="H4" s="208"/>
      <c r="I4" s="208"/>
      <c r="J4" s="208"/>
      <c r="K4" s="208"/>
      <c r="L4" s="219"/>
    </row>
    <row r="5" spans="1:12">
      <c r="A5" s="210" t="s">
        <v>77</v>
      </c>
      <c r="C5" s="11"/>
      <c r="D5" s="11"/>
      <c r="E5" s="11"/>
      <c r="F5" s="11"/>
      <c r="G5" s="11"/>
      <c r="H5" s="11"/>
      <c r="I5" s="11"/>
      <c r="J5" s="11"/>
      <c r="K5" s="11"/>
      <c r="L5" s="144"/>
    </row>
    <row r="6" spans="1:12">
      <c r="A6" s="72" t="s">
        <v>144</v>
      </c>
      <c r="C6" s="21">
        <f>18921</f>
        <v>18921</v>
      </c>
      <c r="D6" s="13">
        <f>C8</f>
        <v>19700</v>
      </c>
      <c r="E6" s="13">
        <f t="shared" ref="E6:L6" si="2">D8</f>
        <v>18862</v>
      </c>
      <c r="F6" s="13">
        <f t="shared" si="2"/>
        <v>19075</v>
      </c>
      <c r="G6" s="13">
        <f t="shared" si="2"/>
        <v>18469</v>
      </c>
      <c r="H6" s="13">
        <f t="shared" si="2"/>
        <v>19873</v>
      </c>
      <c r="I6" s="13">
        <f t="shared" ca="1" si="2"/>
        <v>21155.842432132758</v>
      </c>
      <c r="J6" s="13">
        <f t="shared" ca="1" si="2"/>
        <v>22585.910204125954</v>
      </c>
      <c r="K6" s="13">
        <f t="shared" ca="1" si="2"/>
        <v>24013.968490300191</v>
      </c>
      <c r="L6" s="212">
        <f t="shared" ca="1" si="2"/>
        <v>25407.112274792693</v>
      </c>
    </row>
    <row r="7" spans="1:12">
      <c r="A7" s="72" t="s">
        <v>73</v>
      </c>
      <c r="B7" s="4" t="s">
        <v>69</v>
      </c>
      <c r="C7" s="13">
        <f>C8-C6</f>
        <v>779</v>
      </c>
      <c r="D7" s="13">
        <f t="shared" ref="D7" si="3">D8-D6</f>
        <v>-838</v>
      </c>
      <c r="E7" s="13">
        <f t="shared" ref="E7" si="4">E8-E6</f>
        <v>213</v>
      </c>
      <c r="F7" s="13">
        <f t="shared" ref="F7" si="5">F8-F6</f>
        <v>-606</v>
      </c>
      <c r="G7" s="13">
        <f t="shared" ref="G7" si="6">G8-G6</f>
        <v>1404</v>
      </c>
      <c r="H7" s="13">
        <f t="shared" ref="H7" ca="1" si="7">H8-H6</f>
        <v>1282.8424321327584</v>
      </c>
      <c r="I7" s="13">
        <f t="shared" ref="I7" ca="1" si="8">I8-I6</f>
        <v>1430.0677719931955</v>
      </c>
      <c r="J7" s="13">
        <f t="shared" ref="J7" ca="1" si="9">J8-J6</f>
        <v>1428.0582861742369</v>
      </c>
      <c r="K7" s="13">
        <f t="shared" ref="K7" ca="1" si="10">K8-K6</f>
        <v>1393.1437844925022</v>
      </c>
      <c r="L7" s="212">
        <f t="shared" ref="L7" ca="1" si="11">L8-L6</f>
        <v>385.2728361645095</v>
      </c>
    </row>
    <row r="8" spans="1:12">
      <c r="A8" s="72" t="s">
        <v>145</v>
      </c>
      <c r="C8" s="13">
        <f>C9+C10</f>
        <v>19700</v>
      </c>
      <c r="D8" s="13">
        <f>D9+D10</f>
        <v>18862</v>
      </c>
      <c r="E8" s="13">
        <f t="shared" ref="E8:G8" si="12">E9+E10</f>
        <v>19075</v>
      </c>
      <c r="F8" s="13">
        <f t="shared" si="12"/>
        <v>18469</v>
      </c>
      <c r="G8" s="13">
        <f t="shared" si="12"/>
        <v>19873</v>
      </c>
      <c r="H8" s="13">
        <f ca="1">'P&amp;L'!H7/Capex!H15</f>
        <v>21155.842432132758</v>
      </c>
      <c r="I8" s="13">
        <f ca="1">'P&amp;L'!I7/Capex!I15</f>
        <v>22585.910204125954</v>
      </c>
      <c r="J8" s="13">
        <f ca="1">'P&amp;L'!J7/Capex!J15</f>
        <v>24013.968490300191</v>
      </c>
      <c r="K8" s="13">
        <f ca="1">'P&amp;L'!K7/Capex!K15</f>
        <v>25407.112274792693</v>
      </c>
      <c r="L8" s="212">
        <f>'P&amp;L'!L7/Capex!L15</f>
        <v>25792.385110957202</v>
      </c>
    </row>
    <row r="9" spans="1:12">
      <c r="A9" s="72" t="s">
        <v>75</v>
      </c>
      <c r="C9" s="58">
        <v>8923</v>
      </c>
      <c r="D9" s="58">
        <v>8942</v>
      </c>
      <c r="E9" s="58">
        <v>9234</v>
      </c>
      <c r="F9" s="58">
        <v>9233</v>
      </c>
      <c r="G9" s="58">
        <v>9570</v>
      </c>
      <c r="H9" s="13">
        <f ca="1">G9+H12</f>
        <v>10631.358370897015</v>
      </c>
      <c r="I9" s="13">
        <f t="shared" ref="I9:L9" ca="1" si="13">H9+I12</f>
        <v>11764.461197521759</v>
      </c>
      <c r="J9" s="13">
        <f t="shared" ca="1" si="13"/>
        <v>12969.207666843417</v>
      </c>
      <c r="K9" s="13">
        <f t="shared" ca="1" si="13"/>
        <v>14243.846168225609</v>
      </c>
      <c r="L9" s="212">
        <f t="shared" ca="1" si="13"/>
        <v>15537.813257020674</v>
      </c>
    </row>
    <row r="10" spans="1:12" s="1" customFormat="1">
      <c r="A10" s="210" t="s">
        <v>76</v>
      </c>
      <c r="B10" s="6"/>
      <c r="C10" s="22">
        <f>'Balance Sheet'!C20</f>
        <v>10777</v>
      </c>
      <c r="D10" s="22">
        <f>'Balance Sheet'!D20</f>
        <v>9920</v>
      </c>
      <c r="E10" s="22">
        <f>'Balance Sheet'!E20</f>
        <v>9841</v>
      </c>
      <c r="F10" s="22">
        <f>'Balance Sheet'!F20</f>
        <v>9236</v>
      </c>
      <c r="G10" s="22">
        <f>'Balance Sheet'!G20</f>
        <v>10303</v>
      </c>
      <c r="H10" s="40">
        <f ca="1">H8-H9</f>
        <v>10524.484061235744</v>
      </c>
      <c r="I10" s="40">
        <f t="shared" ref="I10:L10" ca="1" si="14">I8-I9</f>
        <v>10821.449006604194</v>
      </c>
      <c r="J10" s="40">
        <f t="shared" ca="1" si="14"/>
        <v>11044.760823456774</v>
      </c>
      <c r="K10" s="40">
        <f t="shared" ca="1" si="14"/>
        <v>11163.266106567084</v>
      </c>
      <c r="L10" s="214">
        <f t="shared" ca="1" si="14"/>
        <v>10254.571853936528</v>
      </c>
    </row>
    <row r="11" spans="1:12">
      <c r="A11" s="72"/>
      <c r="C11" s="13"/>
      <c r="D11" s="13"/>
      <c r="E11" s="13"/>
      <c r="F11" s="13"/>
      <c r="G11" s="13"/>
      <c r="H11" s="13"/>
      <c r="I11" s="13"/>
      <c r="J11" s="13"/>
      <c r="K11" s="13"/>
      <c r="L11" s="144"/>
    </row>
    <row r="12" spans="1:12">
      <c r="A12" s="72" t="s">
        <v>78</v>
      </c>
      <c r="C12" s="58">
        <v>1301</v>
      </c>
      <c r="D12" s="58">
        <v>1262</v>
      </c>
      <c r="E12" s="58">
        <v>1125</v>
      </c>
      <c r="F12" s="58">
        <v>1018</v>
      </c>
      <c r="G12" s="58">
        <v>997</v>
      </c>
      <c r="H12" s="13">
        <f ca="1">H8*H14</f>
        <v>1061.3583708970141</v>
      </c>
      <c r="I12" s="13">
        <f t="shared" ref="I12:L12" ca="1" si="15">I8*I14</f>
        <v>1133.1028266247458</v>
      </c>
      <c r="J12" s="13">
        <f t="shared" ca="1" si="15"/>
        <v>1204.7464693216571</v>
      </c>
      <c r="K12" s="13">
        <f t="shared" ca="1" si="15"/>
        <v>1274.6385013821928</v>
      </c>
      <c r="L12" s="212">
        <f t="shared" si="15"/>
        <v>1293.9670887950651</v>
      </c>
    </row>
    <row r="13" spans="1:12">
      <c r="A13" s="72" t="s">
        <v>80</v>
      </c>
      <c r="C13" s="23">
        <f>'P&amp;L'!C57</f>
        <v>1536</v>
      </c>
      <c r="D13" s="23">
        <f>'P&amp;L'!D57</f>
        <v>1452</v>
      </c>
      <c r="E13" s="23">
        <f>'P&amp;L'!E57</f>
        <v>1260</v>
      </c>
      <c r="F13" s="23">
        <f>'P&amp;L'!F57</f>
        <v>1128</v>
      </c>
      <c r="G13" s="23">
        <f>'P&amp;L'!G57</f>
        <v>1075</v>
      </c>
      <c r="H13" s="13">
        <f ca="1">H12+H29</f>
        <v>1122.3583708970141</v>
      </c>
      <c r="I13" s="13">
        <f t="shared" ref="I13:L13" ca="1" si="16">I12+I29</f>
        <v>1187.1028266247458</v>
      </c>
      <c r="J13" s="13">
        <f t="shared" ca="1" si="16"/>
        <v>1246.7464693216571</v>
      </c>
      <c r="K13" s="13">
        <f t="shared" ca="1" si="16"/>
        <v>1316.6385013821928</v>
      </c>
      <c r="L13" s="212">
        <f t="shared" si="16"/>
        <v>1327.9670887950651</v>
      </c>
    </row>
    <row r="14" spans="1:12">
      <c r="A14" s="72" t="s">
        <v>81</v>
      </c>
      <c r="C14" s="24">
        <f>C12/C8</f>
        <v>6.6040609137055839E-2</v>
      </c>
      <c r="D14" s="24">
        <f t="shared" ref="D14:F14" si="17">D12/D8</f>
        <v>6.6907008800763446E-2</v>
      </c>
      <c r="E14" s="24">
        <f t="shared" si="17"/>
        <v>5.8977719528178242E-2</v>
      </c>
      <c r="F14" s="24">
        <f t="shared" si="17"/>
        <v>5.5119389246846069E-2</v>
      </c>
      <c r="G14" s="24">
        <f>G12/G8</f>
        <v>5.0168570422180848E-2</v>
      </c>
      <c r="H14" s="24">
        <f>G14</f>
        <v>5.0168570422180848E-2</v>
      </c>
      <c r="I14" s="24">
        <f t="shared" ref="I14:L14" si="18">H14</f>
        <v>5.0168570422180848E-2</v>
      </c>
      <c r="J14" s="24">
        <f t="shared" si="18"/>
        <v>5.0168570422180848E-2</v>
      </c>
      <c r="K14" s="24">
        <f t="shared" si="18"/>
        <v>5.0168570422180848E-2</v>
      </c>
      <c r="L14" s="84">
        <f t="shared" si="18"/>
        <v>5.0168570422180848E-2</v>
      </c>
    </row>
    <row r="15" spans="1:12">
      <c r="A15" s="72" t="s">
        <v>82</v>
      </c>
      <c r="C15" s="25">
        <f>Revenue!C45/Capex!C8</f>
        <v>1.6758375634517766</v>
      </c>
      <c r="D15" s="25">
        <f>Revenue!D45/Capex!D8</f>
        <v>2.0493584985685507</v>
      </c>
      <c r="E15" s="25">
        <f>Revenue!E45/Capex!E8</f>
        <v>2.2544692005242464</v>
      </c>
      <c r="F15" s="25">
        <f>Revenue!F45/Capex!F8</f>
        <v>2.4773404082516648</v>
      </c>
      <c r="G15" s="25">
        <f>Revenue!G45/Capex!G8</f>
        <v>2.36808735470236</v>
      </c>
      <c r="H15" s="25">
        <f ca="1">G15+($L$15-$H$15)/5</f>
        <v>2.4734061289186333</v>
      </c>
      <c r="I15" s="25">
        <f ca="1">H15+($L$15-$H$15)/5</f>
        <v>2.5787249031349067</v>
      </c>
      <c r="J15" s="25">
        <f t="shared" ref="J15:K15" ca="1" si="19">I15+($L$15-$H$15)/5</f>
        <v>2.68404367735118</v>
      </c>
      <c r="K15" s="25">
        <f t="shared" ca="1" si="19"/>
        <v>2.7893624515674533</v>
      </c>
      <c r="L15" s="303">
        <v>3</v>
      </c>
    </row>
    <row r="16" spans="1:12">
      <c r="A16" s="72"/>
      <c r="C16" s="25"/>
      <c r="D16" s="25"/>
      <c r="E16" s="25"/>
      <c r="F16" s="25"/>
      <c r="G16" s="25"/>
      <c r="H16" s="25"/>
      <c r="I16" s="25"/>
      <c r="J16" s="25"/>
      <c r="K16" s="25"/>
      <c r="L16" s="227"/>
    </row>
    <row r="17" spans="1:12">
      <c r="A17" s="72"/>
      <c r="C17" s="13"/>
      <c r="D17" s="13"/>
      <c r="E17" s="13"/>
      <c r="F17" s="13"/>
      <c r="G17" s="13"/>
      <c r="H17" s="13"/>
      <c r="I17" s="13"/>
      <c r="J17" s="13"/>
      <c r="K17" s="13"/>
      <c r="L17" s="144"/>
    </row>
    <row r="18" spans="1:12">
      <c r="A18" s="220" t="s">
        <v>83</v>
      </c>
      <c r="C18" s="23">
        <f>'Balance Sheet'!C24</f>
        <v>649</v>
      </c>
      <c r="D18" s="23">
        <f>'Balance Sheet'!D24</f>
        <v>785</v>
      </c>
      <c r="E18" s="23">
        <f>'Balance Sheet'!E24</f>
        <v>635</v>
      </c>
      <c r="F18" s="23">
        <f>'Balance Sheet'!F24</f>
        <v>516</v>
      </c>
      <c r="G18" s="23">
        <f>G19+G20</f>
        <v>438</v>
      </c>
      <c r="H18" s="23">
        <f t="shared" ref="H18:L18" si="20">H19+H20</f>
        <v>377</v>
      </c>
      <c r="I18" s="23">
        <f t="shared" si="20"/>
        <v>323</v>
      </c>
      <c r="J18" s="23">
        <f t="shared" si="20"/>
        <v>281</v>
      </c>
      <c r="K18" s="23">
        <f t="shared" si="20"/>
        <v>239</v>
      </c>
      <c r="L18" s="221">
        <f t="shared" si="20"/>
        <v>205</v>
      </c>
    </row>
    <row r="19" spans="1:12">
      <c r="A19" s="72" t="s">
        <v>86</v>
      </c>
      <c r="C19" s="58">
        <v>225</v>
      </c>
      <c r="D19" s="58">
        <v>211</v>
      </c>
      <c r="E19" s="58">
        <v>175</v>
      </c>
      <c r="F19" s="58">
        <v>161</v>
      </c>
      <c r="G19" s="13">
        <f>F19</f>
        <v>161</v>
      </c>
      <c r="H19" s="13">
        <f t="shared" ref="H19:L19" si="21">G19</f>
        <v>161</v>
      </c>
      <c r="I19" s="13">
        <f t="shared" si="21"/>
        <v>161</v>
      </c>
      <c r="J19" s="13">
        <f t="shared" si="21"/>
        <v>161</v>
      </c>
      <c r="K19" s="13">
        <f t="shared" si="21"/>
        <v>161</v>
      </c>
      <c r="L19" s="212">
        <f t="shared" si="21"/>
        <v>161</v>
      </c>
    </row>
    <row r="20" spans="1:12">
      <c r="A20" s="72" t="s">
        <v>85</v>
      </c>
      <c r="C20" s="13">
        <f>C18-C19</f>
        <v>424</v>
      </c>
      <c r="D20" s="13">
        <f t="shared" ref="D20:F20" si="22">D18-D19</f>
        <v>574</v>
      </c>
      <c r="E20" s="13">
        <f t="shared" si="22"/>
        <v>460</v>
      </c>
      <c r="F20" s="13">
        <f t="shared" si="22"/>
        <v>355</v>
      </c>
      <c r="G20" s="13">
        <f>G27</f>
        <v>277</v>
      </c>
      <c r="H20" s="13">
        <f t="shared" ref="H20:L20" si="23">H27</f>
        <v>216</v>
      </c>
      <c r="I20" s="13">
        <f t="shared" si="23"/>
        <v>162</v>
      </c>
      <c r="J20" s="13">
        <f t="shared" si="23"/>
        <v>120</v>
      </c>
      <c r="K20" s="13">
        <f t="shared" si="23"/>
        <v>78</v>
      </c>
      <c r="L20" s="212">
        <f t="shared" si="23"/>
        <v>44</v>
      </c>
    </row>
    <row r="21" spans="1:12">
      <c r="A21" s="72"/>
      <c r="C21" s="13"/>
      <c r="D21" s="13"/>
      <c r="E21" s="13"/>
      <c r="F21" s="13"/>
      <c r="G21" s="13"/>
      <c r="H21" s="13"/>
      <c r="I21" s="13"/>
      <c r="J21" s="13"/>
      <c r="K21" s="13"/>
      <c r="L21" s="144"/>
    </row>
    <row r="22" spans="1:12">
      <c r="A22" s="210" t="s">
        <v>147</v>
      </c>
      <c r="C22" s="13"/>
      <c r="D22" s="13"/>
      <c r="E22" s="13"/>
      <c r="F22" s="13"/>
      <c r="G22" s="13"/>
      <c r="H22" s="13"/>
      <c r="I22" s="13"/>
      <c r="J22" s="13"/>
      <c r="K22" s="13"/>
      <c r="L22" s="144"/>
    </row>
    <row r="23" spans="1:12">
      <c r="A23" s="72" t="s">
        <v>72</v>
      </c>
      <c r="C23" s="58">
        <v>917</v>
      </c>
      <c r="D23" s="13">
        <f>C25</f>
        <v>772</v>
      </c>
      <c r="E23" s="13">
        <f t="shared" ref="E23:F23" si="24">D25</f>
        <v>798</v>
      </c>
      <c r="F23" s="13">
        <f t="shared" si="24"/>
        <v>707</v>
      </c>
      <c r="G23" s="304">
        <v>562</v>
      </c>
      <c r="H23" s="13">
        <f>F25</f>
        <v>562</v>
      </c>
      <c r="I23" s="13">
        <f t="shared" ref="I23:L23" si="25">H25</f>
        <v>562</v>
      </c>
      <c r="J23" s="13">
        <f t="shared" si="25"/>
        <v>562</v>
      </c>
      <c r="K23" s="13">
        <f t="shared" si="25"/>
        <v>562</v>
      </c>
      <c r="L23" s="212">
        <f t="shared" si="25"/>
        <v>562</v>
      </c>
    </row>
    <row r="24" spans="1:12">
      <c r="A24" s="72" t="s">
        <v>73</v>
      </c>
      <c r="C24" s="13">
        <f>C25-C23</f>
        <v>-145</v>
      </c>
      <c r="D24" s="13">
        <f t="shared" ref="D24:F24" si="26">D25-D23</f>
        <v>26</v>
      </c>
      <c r="E24" s="13">
        <f t="shared" si="26"/>
        <v>-91</v>
      </c>
      <c r="F24" s="13">
        <f t="shared" si="26"/>
        <v>-145</v>
      </c>
      <c r="G24" s="13">
        <f>0</f>
        <v>0</v>
      </c>
      <c r="H24" s="13">
        <f>0</f>
        <v>0</v>
      </c>
      <c r="I24" s="13">
        <f>0</f>
        <v>0</v>
      </c>
      <c r="J24" s="13">
        <f>0</f>
        <v>0</v>
      </c>
      <c r="K24" s="13">
        <f>0</f>
        <v>0</v>
      </c>
      <c r="L24" s="212">
        <f>0</f>
        <v>0</v>
      </c>
    </row>
    <row r="25" spans="1:12">
      <c r="A25" s="72" t="s">
        <v>74</v>
      </c>
      <c r="C25" s="13">
        <f>C26+C27</f>
        <v>772</v>
      </c>
      <c r="D25" s="13">
        <f t="shared" ref="D25:F25" si="27">D26+D27</f>
        <v>798</v>
      </c>
      <c r="E25" s="13">
        <f t="shared" si="27"/>
        <v>707</v>
      </c>
      <c r="F25" s="13">
        <f t="shared" si="27"/>
        <v>562</v>
      </c>
      <c r="G25" s="13">
        <f>G23-G24</f>
        <v>562</v>
      </c>
      <c r="H25" s="13">
        <f>G25</f>
        <v>562</v>
      </c>
      <c r="I25" s="13">
        <f t="shared" ref="I25:L25" si="28">I23-I24</f>
        <v>562</v>
      </c>
      <c r="J25" s="13">
        <f t="shared" si="28"/>
        <v>562</v>
      </c>
      <c r="K25" s="13">
        <f t="shared" si="28"/>
        <v>562</v>
      </c>
      <c r="L25" s="212">
        <f t="shared" si="28"/>
        <v>562</v>
      </c>
    </row>
    <row r="26" spans="1:12">
      <c r="A26" s="72" t="s">
        <v>84</v>
      </c>
      <c r="C26" s="58">
        <v>348</v>
      </c>
      <c r="D26" s="58">
        <v>224</v>
      </c>
      <c r="E26" s="58">
        <v>247</v>
      </c>
      <c r="F26" s="58">
        <v>207</v>
      </c>
      <c r="G26" s="13">
        <f>F26+G29</f>
        <v>285</v>
      </c>
      <c r="H26" s="13">
        <f t="shared" ref="H26:L26" si="29">G26+H29</f>
        <v>346</v>
      </c>
      <c r="I26" s="13">
        <f t="shared" si="29"/>
        <v>400</v>
      </c>
      <c r="J26" s="13">
        <f t="shared" si="29"/>
        <v>442</v>
      </c>
      <c r="K26" s="13">
        <f t="shared" si="29"/>
        <v>484</v>
      </c>
      <c r="L26" s="212">
        <f t="shared" si="29"/>
        <v>518</v>
      </c>
    </row>
    <row r="27" spans="1:12" s="1" customFormat="1">
      <c r="A27" s="222" t="s">
        <v>76</v>
      </c>
      <c r="B27" s="15"/>
      <c r="C27" s="16">
        <f>C20</f>
        <v>424</v>
      </c>
      <c r="D27" s="16">
        <f t="shared" ref="D27:F27" si="30">D20</f>
        <v>574</v>
      </c>
      <c r="E27" s="16">
        <f t="shared" si="30"/>
        <v>460</v>
      </c>
      <c r="F27" s="16">
        <f t="shared" si="30"/>
        <v>355</v>
      </c>
      <c r="G27" s="16">
        <f>G25-G26</f>
        <v>277</v>
      </c>
      <c r="H27" s="16">
        <f t="shared" ref="H27:L27" si="31">H25-H26</f>
        <v>216</v>
      </c>
      <c r="I27" s="16">
        <f t="shared" si="31"/>
        <v>162</v>
      </c>
      <c r="J27" s="16">
        <f t="shared" si="31"/>
        <v>120</v>
      </c>
      <c r="K27" s="16">
        <f t="shared" si="31"/>
        <v>78</v>
      </c>
      <c r="L27" s="223">
        <f t="shared" si="31"/>
        <v>44</v>
      </c>
    </row>
    <row r="28" spans="1:12">
      <c r="A28" s="72"/>
      <c r="C28" s="13"/>
      <c r="D28" s="13"/>
      <c r="E28" s="13"/>
      <c r="F28" s="13"/>
      <c r="G28" s="13"/>
      <c r="H28" s="13"/>
      <c r="I28" s="13"/>
      <c r="J28" s="13"/>
      <c r="K28" s="13"/>
      <c r="L28" s="144"/>
    </row>
    <row r="29" spans="1:12" ht="16" thickBot="1">
      <c r="A29" s="105" t="s">
        <v>79</v>
      </c>
      <c r="B29" s="157"/>
      <c r="C29" s="85">
        <f>C13-C12</f>
        <v>235</v>
      </c>
      <c r="D29" s="85">
        <f t="shared" ref="D29:G29" si="32">D13-D12</f>
        <v>190</v>
      </c>
      <c r="E29" s="85">
        <f t="shared" si="32"/>
        <v>135</v>
      </c>
      <c r="F29" s="85">
        <f t="shared" si="32"/>
        <v>110</v>
      </c>
      <c r="G29" s="85">
        <f t="shared" si="32"/>
        <v>78</v>
      </c>
      <c r="H29" s="305">
        <v>61</v>
      </c>
      <c r="I29" s="305">
        <v>54</v>
      </c>
      <c r="J29" s="305">
        <v>42</v>
      </c>
      <c r="K29" s="305">
        <v>42</v>
      </c>
      <c r="L29" s="306">
        <v>34</v>
      </c>
    </row>
    <row r="30" spans="1:12">
      <c r="F30" s="13"/>
      <c r="H30" s="45" t="s">
        <v>146</v>
      </c>
    </row>
    <row r="31" spans="1:12">
      <c r="F31" s="13"/>
    </row>
  </sheetData>
  <mergeCells count="3">
    <mergeCell ref="A2:A3"/>
    <mergeCell ref="C2:G2"/>
    <mergeCell ref="H2:L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7BC2-32C9-44B1-9388-B694FD9650C9}">
  <sheetPr>
    <tabColor theme="9" tint="0.39997558519241921"/>
  </sheetPr>
  <dimension ref="A1:L91"/>
  <sheetViews>
    <sheetView showGridLines="0" zoomScale="60" zoomScaleNormal="6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13" sqref="N13"/>
    </sheetView>
  </sheetViews>
  <sheetFormatPr baseColWidth="10" defaultColWidth="8.83203125" defaultRowHeight="15"/>
  <cols>
    <col min="1" max="1" width="42.5" customWidth="1"/>
    <col min="2" max="2" width="11.5" style="4" customWidth="1"/>
    <col min="3" max="11" width="11.5" style="5" customWidth="1"/>
    <col min="12" max="12" width="11.5" customWidth="1"/>
    <col min="13" max="13" width="10" customWidth="1"/>
  </cols>
  <sheetData>
    <row r="1" spans="1:12" ht="50" customHeight="1" thickBot="1">
      <c r="A1" s="79"/>
      <c r="B1" s="197"/>
      <c r="C1" s="79"/>
      <c r="D1" s="79"/>
      <c r="E1" s="79"/>
      <c r="F1" s="79"/>
      <c r="G1" s="79"/>
      <c r="H1" s="79"/>
      <c r="I1" s="79" t="s">
        <v>70</v>
      </c>
      <c r="J1" s="292"/>
      <c r="K1" s="79"/>
      <c r="L1" s="79"/>
    </row>
    <row r="2" spans="1:12">
      <c r="A2" s="314" t="s">
        <v>1</v>
      </c>
      <c r="B2" s="89"/>
      <c r="C2" s="331" t="s">
        <v>4</v>
      </c>
      <c r="D2" s="332"/>
      <c r="E2" s="332"/>
      <c r="F2" s="332"/>
      <c r="G2" s="333"/>
      <c r="H2" s="335" t="s">
        <v>3</v>
      </c>
      <c r="I2" s="332"/>
      <c r="J2" s="332"/>
      <c r="K2" s="332"/>
      <c r="L2" s="334"/>
    </row>
    <row r="3" spans="1:12" ht="16" thickBot="1">
      <c r="A3" s="315"/>
      <c r="B3" s="107" t="s">
        <v>2</v>
      </c>
      <c r="C3" s="302">
        <v>2020</v>
      </c>
      <c r="D3" s="92">
        <f>C3+1</f>
        <v>2021</v>
      </c>
      <c r="E3" s="92">
        <f t="shared" ref="E3:G3" si="0">D3+1</f>
        <v>2022</v>
      </c>
      <c r="F3" s="92">
        <f t="shared" si="0"/>
        <v>2023</v>
      </c>
      <c r="G3" s="218">
        <f t="shared" si="0"/>
        <v>2024</v>
      </c>
      <c r="H3" s="92">
        <f>G3+1</f>
        <v>2025</v>
      </c>
      <c r="I3" s="92">
        <f t="shared" ref="I3:L3" si="1">H3+1</f>
        <v>2026</v>
      </c>
      <c r="J3" s="92">
        <f t="shared" si="1"/>
        <v>2027</v>
      </c>
      <c r="K3" s="92">
        <f t="shared" si="1"/>
        <v>2028</v>
      </c>
      <c r="L3" s="93">
        <f t="shared" si="1"/>
        <v>2029</v>
      </c>
    </row>
    <row r="4" spans="1:12">
      <c r="A4" s="187"/>
      <c r="B4" s="189"/>
      <c r="C4" s="208"/>
      <c r="D4" s="208"/>
      <c r="E4" s="208"/>
      <c r="F4" s="208"/>
      <c r="G4" s="63"/>
      <c r="H4" s="208"/>
      <c r="I4" s="208"/>
      <c r="J4" s="208"/>
      <c r="K4" s="208"/>
      <c r="L4" s="219"/>
    </row>
    <row r="5" spans="1:12">
      <c r="A5" s="72" t="s">
        <v>15</v>
      </c>
      <c r="B5" s="4" t="s">
        <v>69</v>
      </c>
      <c r="C5" s="34">
        <f>Revenue!C45</f>
        <v>33014</v>
      </c>
      <c r="D5" s="34">
        <f>Revenue!D45</f>
        <v>38655</v>
      </c>
      <c r="E5" s="34">
        <f>Revenue!E45</f>
        <v>43004</v>
      </c>
      <c r="F5" s="34">
        <f>Revenue!F45</f>
        <v>45754</v>
      </c>
      <c r="G5" s="35">
        <f>Revenue!G45</f>
        <v>47061</v>
      </c>
      <c r="H5" s="34">
        <f>Revenue!H45</f>
        <v>52326.990334074049</v>
      </c>
      <c r="I5" s="34">
        <f>Revenue!I45</f>
        <v>58242.849103348402</v>
      </c>
      <c r="J5" s="34">
        <f>Revenue!J45</f>
        <v>64454.540294500686</v>
      </c>
      <c r="K5" s="34">
        <f>Revenue!K45</f>
        <v>70869.644982065278</v>
      </c>
      <c r="L5" s="225">
        <f>Revenue!L45</f>
        <v>77377.155332871611</v>
      </c>
    </row>
    <row r="6" spans="1:12">
      <c r="A6" s="72" t="s">
        <v>132</v>
      </c>
      <c r="C6" s="56">
        <v>-15</v>
      </c>
      <c r="D6" s="56">
        <v>3</v>
      </c>
      <c r="E6" s="56">
        <v>42</v>
      </c>
      <c r="F6" s="56">
        <v>30</v>
      </c>
      <c r="G6" s="54">
        <v>-164</v>
      </c>
      <c r="H6" s="56">
        <v>0</v>
      </c>
      <c r="I6" s="56">
        <v>0</v>
      </c>
      <c r="J6" s="56">
        <v>0</v>
      </c>
      <c r="K6" s="56">
        <v>0</v>
      </c>
      <c r="L6" s="144"/>
    </row>
    <row r="7" spans="1:12">
      <c r="A7" s="72" t="s">
        <v>131</v>
      </c>
      <c r="C7" s="36">
        <f t="shared" ref="C7:E7" si="2">C5+C6</f>
        <v>32999</v>
      </c>
      <c r="D7" s="36">
        <f t="shared" si="2"/>
        <v>38658</v>
      </c>
      <c r="E7" s="36">
        <f t="shared" si="2"/>
        <v>43046</v>
      </c>
      <c r="F7" s="36">
        <f>F5+F6</f>
        <v>45784</v>
      </c>
      <c r="G7" s="37">
        <f>G5+G6</f>
        <v>46897</v>
      </c>
      <c r="H7" s="36">
        <f t="shared" ref="H7:L7" si="3">H5+H6</f>
        <v>52326.990334074049</v>
      </c>
      <c r="I7" s="36">
        <f t="shared" si="3"/>
        <v>58242.849103348402</v>
      </c>
      <c r="J7" s="36">
        <f t="shared" si="3"/>
        <v>64454.540294500686</v>
      </c>
      <c r="K7" s="36">
        <f t="shared" si="3"/>
        <v>70869.644982065278</v>
      </c>
      <c r="L7" s="236">
        <f t="shared" si="3"/>
        <v>77377.155332871611</v>
      </c>
    </row>
    <row r="8" spans="1:12">
      <c r="A8" s="72"/>
      <c r="C8" s="13"/>
      <c r="D8" s="13"/>
      <c r="E8" s="13"/>
      <c r="F8" s="13"/>
      <c r="G8" s="38"/>
      <c r="H8" s="13"/>
      <c r="I8" s="13"/>
      <c r="J8" s="13"/>
      <c r="K8" s="13"/>
      <c r="L8" s="144"/>
    </row>
    <row r="9" spans="1:12">
      <c r="A9" s="72" t="s">
        <v>16</v>
      </c>
      <c r="C9" s="58">
        <v>13433</v>
      </c>
      <c r="D9" s="58">
        <v>15357</v>
      </c>
      <c r="E9" s="58">
        <v>18000</v>
      </c>
      <c r="F9" s="58">
        <v>18520</v>
      </c>
      <c r="G9" s="299">
        <v>18324</v>
      </c>
      <c r="H9" s="13"/>
      <c r="I9" s="13"/>
      <c r="J9" s="13"/>
      <c r="K9" s="13"/>
      <c r="L9" s="144"/>
    </row>
    <row r="10" spans="1:12">
      <c r="A10" s="72" t="s">
        <v>132</v>
      </c>
      <c r="C10" s="58">
        <v>65</v>
      </c>
      <c r="D10" s="58">
        <v>53</v>
      </c>
      <c r="E10" s="58">
        <v>-183</v>
      </c>
      <c r="F10" s="58">
        <v>-55</v>
      </c>
      <c r="G10" s="299">
        <v>-70</v>
      </c>
      <c r="H10" s="13"/>
      <c r="I10" s="13"/>
      <c r="J10" s="13"/>
      <c r="K10" s="13"/>
      <c r="L10" s="144"/>
    </row>
    <row r="11" spans="1:12">
      <c r="A11" s="72" t="s">
        <v>130</v>
      </c>
      <c r="C11" s="39">
        <f t="shared" ref="C11:E11" si="4">C9+C10</f>
        <v>13498</v>
      </c>
      <c r="D11" s="39">
        <f t="shared" si="4"/>
        <v>15410</v>
      </c>
      <c r="E11" s="39">
        <f t="shared" si="4"/>
        <v>17817</v>
      </c>
      <c r="F11" s="39">
        <f>F9+F10</f>
        <v>18465</v>
      </c>
      <c r="G11" s="65">
        <f>G9+G10</f>
        <v>18254</v>
      </c>
      <c r="H11" s="64">
        <f>H7-H12</f>
        <v>21078.519403629889</v>
      </c>
      <c r="I11" s="64">
        <f t="shared" ref="I11:L11" si="5">I7-I12</f>
        <v>23461.563852797903</v>
      </c>
      <c r="J11" s="64">
        <f t="shared" si="5"/>
        <v>25963.776429254831</v>
      </c>
      <c r="K11" s="64">
        <f t="shared" si="5"/>
        <v>28547.92865681176</v>
      </c>
      <c r="L11" s="237">
        <f t="shared" si="5"/>
        <v>31169.304018227733</v>
      </c>
    </row>
    <row r="12" spans="1:12" s="1" customFormat="1">
      <c r="A12" s="233" t="s">
        <v>133</v>
      </c>
      <c r="B12" s="19"/>
      <c r="C12" s="20">
        <f>C7-C11</f>
        <v>19501</v>
      </c>
      <c r="D12" s="20">
        <f t="shared" ref="D12:E12" si="6">D7-D11</f>
        <v>23248</v>
      </c>
      <c r="E12" s="20">
        <f t="shared" si="6"/>
        <v>25229</v>
      </c>
      <c r="F12" s="20">
        <f>F7-F11</f>
        <v>27319</v>
      </c>
      <c r="G12" s="33">
        <f>G7-G11</f>
        <v>28643</v>
      </c>
      <c r="H12" s="20">
        <f>H7*H49</f>
        <v>31248.47093044416</v>
      </c>
      <c r="I12" s="20">
        <f t="shared" ref="I12:L12" si="7">I7*I49</f>
        <v>34781.2852505505</v>
      </c>
      <c r="J12" s="20">
        <f t="shared" si="7"/>
        <v>38490.763865245855</v>
      </c>
      <c r="K12" s="20">
        <f t="shared" si="7"/>
        <v>42321.716325253517</v>
      </c>
      <c r="L12" s="234">
        <f t="shared" si="7"/>
        <v>46207.851314643878</v>
      </c>
    </row>
    <row r="13" spans="1:12">
      <c r="A13" s="72"/>
      <c r="C13" s="13"/>
      <c r="D13" s="13"/>
      <c r="E13" s="13"/>
      <c r="F13" s="13"/>
      <c r="G13" s="38"/>
      <c r="H13" s="13"/>
      <c r="I13" s="13"/>
      <c r="J13" s="13"/>
      <c r="K13" s="13"/>
      <c r="L13" s="144"/>
    </row>
    <row r="14" spans="1:12">
      <c r="A14" s="72" t="s">
        <v>17</v>
      </c>
      <c r="C14" s="58">
        <v>9731</v>
      </c>
      <c r="D14" s="58">
        <v>12144</v>
      </c>
      <c r="E14" s="58">
        <v>12880</v>
      </c>
      <c r="F14" s="58">
        <v>13972</v>
      </c>
      <c r="G14" s="299">
        <v>14582</v>
      </c>
      <c r="H14" s="13"/>
      <c r="I14" s="13"/>
      <c r="J14" s="13"/>
      <c r="K14" s="13"/>
      <c r="L14" s="144"/>
    </row>
    <row r="15" spans="1:12">
      <c r="A15" s="72" t="s">
        <v>132</v>
      </c>
      <c r="C15" s="58">
        <v>0</v>
      </c>
      <c r="D15" s="58">
        <v>-5</v>
      </c>
      <c r="E15" s="58">
        <v>4</v>
      </c>
      <c r="F15" s="58">
        <v>11</v>
      </c>
      <c r="G15" s="299">
        <v>-24</v>
      </c>
      <c r="H15" s="13"/>
      <c r="I15" s="13"/>
      <c r="J15" s="13"/>
      <c r="K15" s="13"/>
      <c r="L15" s="144"/>
    </row>
    <row r="16" spans="1:12">
      <c r="A16" s="72" t="s">
        <v>134</v>
      </c>
      <c r="C16" s="39">
        <f t="shared" ref="C16:E16" si="8">C14+C15</f>
        <v>9731</v>
      </c>
      <c r="D16" s="39">
        <f t="shared" si="8"/>
        <v>12139</v>
      </c>
      <c r="E16" s="39">
        <f t="shared" si="8"/>
        <v>12884</v>
      </c>
      <c r="F16" s="39">
        <f>F14+F15</f>
        <v>13983</v>
      </c>
      <c r="G16" s="241">
        <f>G14+G15</f>
        <v>14558</v>
      </c>
      <c r="H16" s="39">
        <f>H7*H50</f>
        <v>15949.714812953807</v>
      </c>
      <c r="I16" s="39">
        <f t="shared" ref="I16:L16" si="9">I7*I50</f>
        <v>17752.9192327233</v>
      </c>
      <c r="J16" s="39">
        <f t="shared" si="9"/>
        <v>19646.295908364078</v>
      </c>
      <c r="K16" s="39">
        <f t="shared" si="9"/>
        <v>21601.674759864174</v>
      </c>
      <c r="L16" s="215">
        <f t="shared" si="9"/>
        <v>23585.219648936814</v>
      </c>
    </row>
    <row r="17" spans="1:12">
      <c r="A17" s="72" t="s">
        <v>18</v>
      </c>
      <c r="C17" s="58">
        <v>853</v>
      </c>
      <c r="D17" s="58">
        <v>846</v>
      </c>
      <c r="E17" s="58">
        <v>1215</v>
      </c>
      <c r="F17" s="58">
        <v>1951</v>
      </c>
      <c r="G17" s="299">
        <v>4163</v>
      </c>
      <c r="H17" s="11"/>
      <c r="I17" s="11"/>
      <c r="J17" s="11"/>
      <c r="K17" s="11"/>
      <c r="L17" s="144"/>
    </row>
    <row r="18" spans="1:12">
      <c r="A18" s="72" t="s">
        <v>132</v>
      </c>
      <c r="C18" s="58">
        <v>-853</v>
      </c>
      <c r="D18" s="58">
        <v>-846</v>
      </c>
      <c r="E18" s="58">
        <v>-1215</v>
      </c>
      <c r="F18" s="58">
        <v>-1951</v>
      </c>
      <c r="G18" s="54">
        <v>-4163</v>
      </c>
      <c r="H18" s="11"/>
      <c r="I18" s="11"/>
      <c r="J18" s="11"/>
      <c r="K18" s="11"/>
      <c r="L18" s="144"/>
    </row>
    <row r="19" spans="1:12">
      <c r="A19" s="72" t="s">
        <v>136</v>
      </c>
      <c r="C19" s="39">
        <f t="shared" ref="C19:E19" si="10">C17+C18</f>
        <v>0</v>
      </c>
      <c r="D19" s="39">
        <f t="shared" si="10"/>
        <v>0</v>
      </c>
      <c r="E19" s="39">
        <f t="shared" si="10"/>
        <v>0</v>
      </c>
      <c r="F19" s="39">
        <f>F17+F18</f>
        <v>0</v>
      </c>
      <c r="G19" s="46"/>
      <c r="H19" s="11"/>
      <c r="I19" s="11"/>
      <c r="J19" s="11"/>
      <c r="K19" s="11"/>
      <c r="L19" s="144"/>
    </row>
    <row r="20" spans="1:12">
      <c r="A20" s="72"/>
      <c r="C20" s="21"/>
      <c r="D20" s="21"/>
      <c r="E20" s="21"/>
      <c r="F20" s="21"/>
      <c r="G20" s="46"/>
      <c r="H20" s="11"/>
      <c r="I20" s="11"/>
      <c r="J20" s="11"/>
      <c r="K20" s="11"/>
      <c r="L20" s="144"/>
    </row>
    <row r="21" spans="1:12" s="1" customFormat="1">
      <c r="A21" s="233" t="s">
        <v>135</v>
      </c>
      <c r="B21" s="19"/>
      <c r="C21" s="20">
        <f t="shared" ref="C21:E21" si="11">C12-C16-C19</f>
        <v>9770</v>
      </c>
      <c r="D21" s="20">
        <f t="shared" si="11"/>
        <v>11109</v>
      </c>
      <c r="E21" s="20">
        <f t="shared" si="11"/>
        <v>12345</v>
      </c>
      <c r="F21" s="20">
        <f>F12-F16-F19</f>
        <v>13336</v>
      </c>
      <c r="G21" s="33">
        <f>G12-G16-G19</f>
        <v>14085</v>
      </c>
      <c r="H21" s="20">
        <f>H12-H16-H19</f>
        <v>15298.756117490353</v>
      </c>
      <c r="I21" s="20">
        <f t="shared" ref="I21:L21" si="12">I12-I16-I19</f>
        <v>17028.3660178272</v>
      </c>
      <c r="J21" s="20">
        <f t="shared" si="12"/>
        <v>18844.467956881777</v>
      </c>
      <c r="K21" s="20">
        <f t="shared" si="12"/>
        <v>20720.041565389343</v>
      </c>
      <c r="L21" s="234">
        <f t="shared" si="12"/>
        <v>22622.631665707064</v>
      </c>
    </row>
    <row r="22" spans="1:12">
      <c r="A22" s="72"/>
      <c r="C22" s="13"/>
      <c r="D22" s="13"/>
      <c r="E22" s="13"/>
      <c r="F22" s="13"/>
      <c r="G22" s="38"/>
      <c r="H22" s="13"/>
      <c r="I22" s="13"/>
      <c r="J22" s="13"/>
      <c r="K22" s="13"/>
      <c r="L22" s="144"/>
    </row>
    <row r="23" spans="1:12">
      <c r="A23" s="72" t="s">
        <v>19</v>
      </c>
      <c r="C23" s="58">
        <v>370</v>
      </c>
      <c r="D23" s="58">
        <v>276</v>
      </c>
      <c r="E23" s="58">
        <v>449</v>
      </c>
      <c r="F23" s="58">
        <v>907</v>
      </c>
      <c r="G23" s="299">
        <v>988</v>
      </c>
      <c r="H23" s="11">
        <f ca="1">H60*AVERAGE('Balance Sheet'!G6:H6)</f>
        <v>696.82510069760349</v>
      </c>
      <c r="I23" s="11">
        <f ca="1">I60*AVERAGE('Balance Sheet'!H6:I6)</f>
        <v>464.12854723602612</v>
      </c>
      <c r="J23" s="11">
        <f ca="1">J60*AVERAGE('Balance Sheet'!I6:J6)</f>
        <v>755.93948364467292</v>
      </c>
      <c r="K23" s="11">
        <f ca="1">K60*AVERAGE('Balance Sheet'!J6:K6)</f>
        <v>1048.6099549272792</v>
      </c>
      <c r="L23" s="211">
        <f ca="1">L60*AVERAGE('Balance Sheet'!K6:L6)</f>
        <v>1271.7729835610571</v>
      </c>
    </row>
    <row r="24" spans="1:12">
      <c r="A24" s="72" t="s">
        <v>20</v>
      </c>
      <c r="C24" s="58">
        <v>1437</v>
      </c>
      <c r="D24" s="58">
        <v>1597</v>
      </c>
      <c r="E24" s="58">
        <v>882</v>
      </c>
      <c r="F24" s="58">
        <v>1527</v>
      </c>
      <c r="G24" s="299">
        <v>1656</v>
      </c>
      <c r="H24" s="11"/>
      <c r="I24" s="11"/>
      <c r="J24" s="11"/>
      <c r="K24" s="11"/>
      <c r="L24" s="144"/>
    </row>
    <row r="25" spans="1:12">
      <c r="A25" s="72" t="s">
        <v>132</v>
      </c>
      <c r="C25" s="58">
        <v>-484</v>
      </c>
      <c r="D25" s="58">
        <v>-821</v>
      </c>
      <c r="E25" s="58">
        <v>24</v>
      </c>
      <c r="F25" s="58">
        <v>25</v>
      </c>
      <c r="G25" s="299">
        <v>25</v>
      </c>
      <c r="H25" s="11"/>
      <c r="I25" s="11"/>
      <c r="J25" s="11"/>
      <c r="K25" s="11"/>
      <c r="L25" s="144"/>
    </row>
    <row r="26" spans="1:12">
      <c r="A26" s="72" t="s">
        <v>137</v>
      </c>
      <c r="C26" s="39">
        <f t="shared" ref="C26:E26" si="13">C24+C25</f>
        <v>953</v>
      </c>
      <c r="D26" s="39">
        <f t="shared" si="13"/>
        <v>776</v>
      </c>
      <c r="E26" s="39">
        <f t="shared" si="13"/>
        <v>906</v>
      </c>
      <c r="F26" s="36">
        <f>F24+F25</f>
        <v>1552</v>
      </c>
      <c r="G26" s="37">
        <f>G24+G25</f>
        <v>1681</v>
      </c>
      <c r="H26" s="11">
        <f>Debt!C26+Debt!C13</f>
        <v>1560.4485712595588</v>
      </c>
      <c r="I26" s="11">
        <f ca="1">Debt!D26+Debt!D13</f>
        <v>1290.1200593461392</v>
      </c>
      <c r="J26" s="11">
        <f ca="1">Debt!E26+Debt!E13</f>
        <v>1185.3863260143937</v>
      </c>
      <c r="K26" s="11">
        <f ca="1">Debt!F26+Debt!F13</f>
        <v>1058.9703806910727</v>
      </c>
      <c r="L26" s="211">
        <f ca="1">Debt!G26+Debt!G13</f>
        <v>887.43925709858013</v>
      </c>
    </row>
    <row r="27" spans="1:12">
      <c r="A27" s="72" t="s">
        <v>21</v>
      </c>
      <c r="C27" s="58">
        <v>978</v>
      </c>
      <c r="D27" s="58">
        <v>1438</v>
      </c>
      <c r="E27" s="58">
        <v>1472</v>
      </c>
      <c r="F27" s="58">
        <v>1691</v>
      </c>
      <c r="G27" s="299">
        <v>1770</v>
      </c>
      <c r="H27" s="58">
        <v>1770</v>
      </c>
      <c r="I27" s="58">
        <v>1770</v>
      </c>
      <c r="J27" s="58">
        <v>1770</v>
      </c>
      <c r="K27" s="58">
        <v>1770</v>
      </c>
      <c r="L27" s="294">
        <v>1770</v>
      </c>
    </row>
    <row r="28" spans="1:12">
      <c r="A28" s="72" t="s">
        <v>132</v>
      </c>
      <c r="C28" s="58">
        <v>216</v>
      </c>
      <c r="D28" s="58">
        <v>13</v>
      </c>
      <c r="E28" s="58">
        <v>34</v>
      </c>
      <c r="F28" s="58">
        <v>159</v>
      </c>
      <c r="G28" s="299">
        <v>92</v>
      </c>
      <c r="H28" s="11"/>
      <c r="I28" s="11"/>
      <c r="J28" s="11"/>
      <c r="K28" s="11"/>
      <c r="L28" s="144"/>
    </row>
    <row r="29" spans="1:12">
      <c r="A29" s="72" t="s">
        <v>138</v>
      </c>
      <c r="C29" s="39">
        <f t="shared" ref="C29:E29" si="14">C27+C28</f>
        <v>1194</v>
      </c>
      <c r="D29" s="39">
        <f t="shared" si="14"/>
        <v>1451</v>
      </c>
      <c r="E29" s="39">
        <f t="shared" si="14"/>
        <v>1506</v>
      </c>
      <c r="F29" s="39">
        <f>F27+F28</f>
        <v>1850</v>
      </c>
      <c r="G29" s="241">
        <f>G27+G28</f>
        <v>1862</v>
      </c>
      <c r="H29" s="11">
        <f>H53*H7</f>
        <v>1976.0155547721504</v>
      </c>
      <c r="I29" s="11">
        <f t="shared" ref="I29:L29" si="15">I53*I7</f>
        <v>2199.4151593221031</v>
      </c>
      <c r="J29" s="11">
        <f t="shared" si="15"/>
        <v>2433.9862351052498</v>
      </c>
      <c r="K29" s="11">
        <f t="shared" si="15"/>
        <v>2676.2387813952064</v>
      </c>
      <c r="L29" s="211">
        <f t="shared" si="15"/>
        <v>2921.9808275923606</v>
      </c>
    </row>
    <row r="30" spans="1:12">
      <c r="A30" s="72" t="s">
        <v>22</v>
      </c>
      <c r="C30" s="58">
        <v>841</v>
      </c>
      <c r="D30" s="58">
        <v>2000</v>
      </c>
      <c r="E30" s="58">
        <v>-262</v>
      </c>
      <c r="F30" s="58">
        <v>570</v>
      </c>
      <c r="G30" s="299">
        <v>1992</v>
      </c>
      <c r="H30" s="11"/>
      <c r="I30" s="11"/>
      <c r="J30" s="11"/>
      <c r="K30" s="11"/>
      <c r="L30" s="144"/>
    </row>
    <row r="31" spans="1:12">
      <c r="A31" s="72" t="s">
        <v>132</v>
      </c>
      <c r="C31" s="21">
        <f>316+14-944-110</f>
        <v>-724</v>
      </c>
      <c r="D31" s="21">
        <f>117-1666-84</f>
        <v>-1633</v>
      </c>
      <c r="E31" s="21">
        <f>96+443-294</f>
        <v>245</v>
      </c>
      <c r="F31" s="39">
        <f>39-855+108</f>
        <v>-708</v>
      </c>
      <c r="G31" s="46">
        <f>34-1741-206</f>
        <v>-1913</v>
      </c>
      <c r="H31" s="11"/>
      <c r="I31" s="11"/>
      <c r="J31" s="11"/>
      <c r="K31" s="11"/>
      <c r="L31" s="144"/>
    </row>
    <row r="32" spans="1:12">
      <c r="A32" s="72" t="s">
        <v>139</v>
      </c>
      <c r="C32" s="39">
        <f t="shared" ref="C32:E32" si="16">C30+C31</f>
        <v>117</v>
      </c>
      <c r="D32" s="39">
        <f t="shared" si="16"/>
        <v>367</v>
      </c>
      <c r="E32" s="39">
        <f t="shared" si="16"/>
        <v>-17</v>
      </c>
      <c r="F32" s="39">
        <f>F30+F31</f>
        <v>-138</v>
      </c>
      <c r="G32" s="241">
        <f>G30+G31</f>
        <v>79</v>
      </c>
      <c r="H32" s="11">
        <f>AVERAGE(C32:G32)</f>
        <v>81.599999999999994</v>
      </c>
      <c r="I32" s="11">
        <f t="shared" ref="I32:L32" si="17">AVERAGE(D32:H32)</f>
        <v>74.52000000000001</v>
      </c>
      <c r="J32" s="11">
        <f t="shared" si="17"/>
        <v>16.024000000000001</v>
      </c>
      <c r="K32" s="11">
        <f t="shared" si="17"/>
        <v>22.628800000000002</v>
      </c>
      <c r="L32" s="211">
        <f t="shared" si="17"/>
        <v>54.754560000000005</v>
      </c>
    </row>
    <row r="33" spans="1:12">
      <c r="A33" s="72"/>
      <c r="C33" s="13"/>
      <c r="D33" s="13"/>
      <c r="E33" s="13"/>
      <c r="F33" s="13"/>
      <c r="G33" s="38"/>
      <c r="H33" s="13"/>
      <c r="I33" s="13"/>
      <c r="J33" s="13"/>
      <c r="K33" s="13"/>
      <c r="L33" s="144"/>
    </row>
    <row r="34" spans="1:12">
      <c r="A34" s="210" t="s">
        <v>140</v>
      </c>
      <c r="B34" s="6"/>
      <c r="C34" s="40">
        <f t="shared" ref="C34:E34" si="18">C21+C23-C26+C29+C32</f>
        <v>10498</v>
      </c>
      <c r="D34" s="40">
        <f t="shared" si="18"/>
        <v>12427</v>
      </c>
      <c r="E34" s="40">
        <f t="shared" si="18"/>
        <v>13377</v>
      </c>
      <c r="F34" s="40">
        <f>F21+F23-F26+F29+F32</f>
        <v>14403</v>
      </c>
      <c r="G34" s="41">
        <f>G21+G23-G26+G29+G32</f>
        <v>15333</v>
      </c>
      <c r="H34" s="40">
        <f ca="1">H21+H23-H26+H29+H32</f>
        <v>16492.74820170055</v>
      </c>
      <c r="I34" s="40">
        <f t="shared" ref="I34:L34" ca="1" si="19">I21+I23-I26+I29+I32</f>
        <v>18476.309665039189</v>
      </c>
      <c r="J34" s="40">
        <f t="shared" ca="1" si="19"/>
        <v>20865.031349617308</v>
      </c>
      <c r="K34" s="40">
        <f t="shared" ca="1" si="19"/>
        <v>23408.548721020758</v>
      </c>
      <c r="L34" s="214">
        <f t="shared" ca="1" si="19"/>
        <v>25983.700779761904</v>
      </c>
    </row>
    <row r="35" spans="1:12">
      <c r="A35" s="72" t="s">
        <v>23</v>
      </c>
      <c r="C35" s="58">
        <v>1981</v>
      </c>
      <c r="D35" s="58">
        <v>2621</v>
      </c>
      <c r="E35" s="58">
        <v>2115</v>
      </c>
      <c r="F35" s="58">
        <v>2249</v>
      </c>
      <c r="G35" s="299">
        <v>2437</v>
      </c>
      <c r="H35" s="13"/>
      <c r="I35" s="13"/>
      <c r="J35" s="13"/>
      <c r="K35" s="13"/>
      <c r="L35" s="144"/>
    </row>
    <row r="36" spans="1:12">
      <c r="A36" s="72" t="s">
        <v>132</v>
      </c>
      <c r="C36" s="13">
        <f>61+93+22+40+52-207</f>
        <v>61</v>
      </c>
      <c r="D36" s="13">
        <f>16+60+29-10-138+140-410</f>
        <v>-313</v>
      </c>
      <c r="E36" s="13">
        <f>1+113+30+158+128</f>
        <v>430</v>
      </c>
      <c r="F36" s="13">
        <f>14+27+48+71+328</f>
        <v>488</v>
      </c>
      <c r="G36" s="38">
        <f>222+2+332+33-70-104</f>
        <v>415</v>
      </c>
      <c r="H36" s="13"/>
      <c r="I36" s="13"/>
      <c r="J36" s="13"/>
      <c r="K36" s="13"/>
      <c r="L36" s="144"/>
    </row>
    <row r="37" spans="1:12">
      <c r="A37" s="72" t="s">
        <v>141</v>
      </c>
      <c r="C37" s="13">
        <f t="shared" ref="C37" si="20">C35+C36</f>
        <v>2042</v>
      </c>
      <c r="D37" s="13">
        <f t="shared" ref="D37:E37" si="21">D35+D36</f>
        <v>2308</v>
      </c>
      <c r="E37" s="13">
        <f t="shared" si="21"/>
        <v>2545</v>
      </c>
      <c r="F37" s="13">
        <f>F35+F36</f>
        <v>2737</v>
      </c>
      <c r="G37" s="38">
        <f>G35+G36</f>
        <v>2852</v>
      </c>
      <c r="H37" s="25">
        <f ca="1">H34*H52</f>
        <v>3122.1553965872718</v>
      </c>
      <c r="I37" s="238">
        <f t="shared" ref="I37:L37" ca="1" si="22">I34*I52</f>
        <v>3497.652982040418</v>
      </c>
      <c r="J37" s="238">
        <f t="shared" ca="1" si="22"/>
        <v>3949.8493174990308</v>
      </c>
      <c r="K37" s="238">
        <f t="shared" ca="1" si="22"/>
        <v>4431.349210077391</v>
      </c>
      <c r="L37" s="239">
        <f t="shared" ca="1" si="22"/>
        <v>4918.8376988910677</v>
      </c>
    </row>
    <row r="38" spans="1:12" s="1" customFormat="1">
      <c r="A38" s="233" t="s">
        <v>24</v>
      </c>
      <c r="B38" s="19"/>
      <c r="C38" s="20">
        <f t="shared" ref="C38:E38" si="23">C34-C37</f>
        <v>8456</v>
      </c>
      <c r="D38" s="20">
        <f t="shared" si="23"/>
        <v>10119</v>
      </c>
      <c r="E38" s="20">
        <f t="shared" si="23"/>
        <v>10832</v>
      </c>
      <c r="F38" s="20">
        <f>F34-F37</f>
        <v>11666</v>
      </c>
      <c r="G38" s="33">
        <f>G34-G37</f>
        <v>12481</v>
      </c>
      <c r="H38" s="20">
        <f t="shared" ref="H38:L38" ca="1" si="24">H34-H37</f>
        <v>13370.592805113278</v>
      </c>
      <c r="I38" s="20">
        <f t="shared" ca="1" si="24"/>
        <v>14978.656682998771</v>
      </c>
      <c r="J38" s="20">
        <f t="shared" ca="1" si="24"/>
        <v>16915.182032118275</v>
      </c>
      <c r="K38" s="20">
        <f t="shared" ca="1" si="24"/>
        <v>18977.199510943366</v>
      </c>
      <c r="L38" s="234">
        <f t="shared" ca="1" si="24"/>
        <v>21064.863080870837</v>
      </c>
    </row>
    <row r="39" spans="1:12">
      <c r="A39" s="72" t="s">
        <v>25</v>
      </c>
      <c r="C39" s="58">
        <v>21</v>
      </c>
      <c r="D39" s="58">
        <v>33</v>
      </c>
      <c r="E39" s="58">
        <v>29</v>
      </c>
      <c r="F39" s="58">
        <v>-11</v>
      </c>
      <c r="G39" s="299">
        <v>18</v>
      </c>
      <c r="H39" s="238">
        <f ca="1">H38*H55</f>
        <v>23.856264195807938</v>
      </c>
      <c r="I39" s="238">
        <f t="shared" ref="I39:L39" ca="1" si="25">I38*I55</f>
        <v>26.725426189874568</v>
      </c>
      <c r="J39" s="238">
        <f t="shared" ca="1" si="25"/>
        <v>30.180640257332115</v>
      </c>
      <c r="K39" s="238">
        <f t="shared" ca="1" si="25"/>
        <v>33.859761629752704</v>
      </c>
      <c r="L39" s="239">
        <f t="shared" ca="1" si="25"/>
        <v>37.584641625881737</v>
      </c>
    </row>
    <row r="40" spans="1:12" s="1" customFormat="1">
      <c r="A40" s="210" t="s">
        <v>26</v>
      </c>
      <c r="B40" s="6"/>
      <c r="C40" s="42">
        <f>C38-C39</f>
        <v>8435</v>
      </c>
      <c r="D40" s="42">
        <f t="shared" ref="D40:G40" si="26">D38-D39</f>
        <v>10086</v>
      </c>
      <c r="E40" s="42">
        <f t="shared" si="26"/>
        <v>10803</v>
      </c>
      <c r="F40" s="42">
        <f t="shared" si="26"/>
        <v>11677</v>
      </c>
      <c r="G40" s="242">
        <f t="shared" si="26"/>
        <v>12463</v>
      </c>
      <c r="H40" s="42">
        <f ca="1">H38-H39</f>
        <v>13346.736540917469</v>
      </c>
      <c r="I40" s="42">
        <f t="shared" ref="I40:L40" ca="1" si="27">I38-I39</f>
        <v>14951.931256808897</v>
      </c>
      <c r="J40" s="42">
        <f t="shared" ca="1" si="27"/>
        <v>16885.001391860944</v>
      </c>
      <c r="K40" s="42">
        <f t="shared" ca="1" si="27"/>
        <v>18943.339749313614</v>
      </c>
      <c r="L40" s="240">
        <f t="shared" ca="1" si="27"/>
        <v>21027.278439244954</v>
      </c>
    </row>
    <row r="41" spans="1:12">
      <c r="A41" s="72"/>
      <c r="C41" s="13"/>
      <c r="D41" s="13"/>
      <c r="E41" s="13"/>
      <c r="F41" s="13"/>
      <c r="G41" s="38"/>
      <c r="H41" s="13"/>
      <c r="I41" s="13"/>
      <c r="J41" s="13"/>
      <c r="K41" s="13"/>
      <c r="L41" s="144"/>
    </row>
    <row r="42" spans="1:12">
      <c r="A42" s="72" t="s">
        <v>27</v>
      </c>
      <c r="C42" s="25">
        <f>C40/C43</f>
        <v>1.9511913023363405</v>
      </c>
      <c r="D42" s="25">
        <f t="shared" ref="D42:E42" si="28">D40/D43</f>
        <v>2.3239631336405528</v>
      </c>
      <c r="E42" s="25">
        <f t="shared" si="28"/>
        <v>2.4834482758620688</v>
      </c>
      <c r="F42" s="25">
        <f>F40/F43</f>
        <v>2.6911730813551511</v>
      </c>
      <c r="G42" s="43">
        <f>G40/G43</f>
        <v>2.8849537037037036</v>
      </c>
      <c r="H42" s="25">
        <f t="shared" ref="H42:L42" ca="1" si="29">H40/H43</f>
        <v>3.0895223474345994</v>
      </c>
      <c r="I42" s="25">
        <f t="shared" ca="1" si="29"/>
        <v>3.4610951983353928</v>
      </c>
      <c r="J42" s="25">
        <f t="shared" ca="1" si="29"/>
        <v>3.9085651370048482</v>
      </c>
      <c r="K42" s="25">
        <f t="shared" ca="1" si="29"/>
        <v>4.3850323493781511</v>
      </c>
      <c r="L42" s="235">
        <f t="shared" ca="1" si="29"/>
        <v>4.867425564640036</v>
      </c>
    </row>
    <row r="43" spans="1:12">
      <c r="A43" s="72" t="s">
        <v>28</v>
      </c>
      <c r="C43" s="58">
        <v>4323</v>
      </c>
      <c r="D43" s="58">
        <v>4340</v>
      </c>
      <c r="E43" s="58">
        <v>4350</v>
      </c>
      <c r="F43" s="58">
        <v>4339</v>
      </c>
      <c r="G43" s="299">
        <v>4320</v>
      </c>
      <c r="H43" s="58">
        <v>4320</v>
      </c>
      <c r="I43" s="58">
        <v>4320</v>
      </c>
      <c r="J43" s="58">
        <v>4320</v>
      </c>
      <c r="K43" s="58">
        <v>4320</v>
      </c>
      <c r="L43" s="294">
        <v>4320</v>
      </c>
    </row>
    <row r="44" spans="1:12">
      <c r="A44" s="72"/>
      <c r="C44" s="13"/>
      <c r="D44" s="13"/>
      <c r="E44" s="13"/>
      <c r="F44" s="13"/>
      <c r="G44" s="38"/>
      <c r="H44" s="13"/>
      <c r="I44" s="13"/>
      <c r="J44" s="13"/>
      <c r="K44" s="13"/>
      <c r="L44" s="144"/>
    </row>
    <row r="45" spans="1:12">
      <c r="A45" s="72" t="s">
        <v>116</v>
      </c>
      <c r="C45" s="300">
        <v>1.64</v>
      </c>
      <c r="D45" s="300">
        <v>1.68</v>
      </c>
      <c r="E45" s="300">
        <v>1.76</v>
      </c>
      <c r="F45" s="300">
        <v>1.84</v>
      </c>
      <c r="G45" s="301">
        <v>1.94</v>
      </c>
      <c r="H45" s="238">
        <f ca="1">H42*H46</f>
        <v>2.2419294330591519</v>
      </c>
      <c r="I45" s="238">
        <f t="shared" ref="I45:L45" ca="1" si="30">I42*I46</f>
        <v>2.511563382026023</v>
      </c>
      <c r="J45" s="238">
        <f t="shared" ca="1" si="30"/>
        <v>2.8362724836595601</v>
      </c>
      <c r="K45" s="238">
        <f t="shared" ca="1" si="30"/>
        <v>3.182023621596576</v>
      </c>
      <c r="L45" s="239">
        <f t="shared" ca="1" si="30"/>
        <v>3.5320749971762608</v>
      </c>
    </row>
    <row r="46" spans="1:12">
      <c r="A46" s="72" t="s">
        <v>117</v>
      </c>
      <c r="C46" s="24">
        <f>C45/C42</f>
        <v>0.84051215174866623</v>
      </c>
      <c r="D46" s="24">
        <f t="shared" ref="D46:E46" si="31">D45/D42</f>
        <v>0.72290303390838784</v>
      </c>
      <c r="E46" s="24">
        <f t="shared" si="31"/>
        <v>0.70869202999166903</v>
      </c>
      <c r="F46" s="24">
        <f>F45/F42</f>
        <v>0.68371670805857665</v>
      </c>
      <c r="G46" s="44">
        <f>G45/G42</f>
        <v>0.67245446521704244</v>
      </c>
      <c r="H46" s="24">
        <f>AVERAGE($C$46:$G$46)</f>
        <v>0.72565567778486839</v>
      </c>
      <c r="I46" s="24">
        <f t="shared" ref="I46:L46" si="32">AVERAGE($C$46:$G$46)</f>
        <v>0.72565567778486839</v>
      </c>
      <c r="J46" s="24">
        <f t="shared" si="32"/>
        <v>0.72565567778486839</v>
      </c>
      <c r="K46" s="24">
        <f t="shared" si="32"/>
        <v>0.72565567778486839</v>
      </c>
      <c r="L46" s="84">
        <f t="shared" si="32"/>
        <v>0.72565567778486839</v>
      </c>
    </row>
    <row r="47" spans="1:12">
      <c r="A47" s="72"/>
      <c r="C47" s="13"/>
      <c r="D47" s="13"/>
      <c r="E47" s="13"/>
      <c r="F47" s="13"/>
      <c r="G47" s="38"/>
      <c r="H47" s="13"/>
      <c r="I47" s="13"/>
      <c r="J47" s="13"/>
      <c r="K47" s="13"/>
      <c r="L47" s="144"/>
    </row>
    <row r="48" spans="1:12">
      <c r="A48" s="72" t="s">
        <v>29</v>
      </c>
      <c r="C48" s="13"/>
      <c r="D48" s="13"/>
      <c r="E48" s="13"/>
      <c r="F48" s="13"/>
      <c r="G48" s="38"/>
      <c r="H48" s="13"/>
      <c r="I48" s="13"/>
      <c r="J48" s="13"/>
      <c r="K48" s="13"/>
      <c r="L48" s="144"/>
    </row>
    <row r="49" spans="1:12">
      <c r="A49" s="72" t="s">
        <v>30</v>
      </c>
      <c r="C49" s="24">
        <f t="shared" ref="C49:G49" si="33">C12/C7</f>
        <v>0.59095730173641625</v>
      </c>
      <c r="D49" s="24">
        <f t="shared" si="33"/>
        <v>0.6013761705209788</v>
      </c>
      <c r="E49" s="24">
        <f t="shared" si="33"/>
        <v>0.58609394601124376</v>
      </c>
      <c r="F49" s="24">
        <f t="shared" si="33"/>
        <v>0.59669316791892368</v>
      </c>
      <c r="G49" s="44">
        <f t="shared" si="33"/>
        <v>0.61076401475574127</v>
      </c>
      <c r="H49" s="24">
        <f>AVERAGE(C49:G49)</f>
        <v>0.59717692018866075</v>
      </c>
      <c r="I49" s="24">
        <f>H49</f>
        <v>0.59717692018866075</v>
      </c>
      <c r="J49" s="24">
        <f t="shared" ref="J49:L49" si="34">I49</f>
        <v>0.59717692018866075</v>
      </c>
      <c r="K49" s="24">
        <f t="shared" si="34"/>
        <v>0.59717692018866075</v>
      </c>
      <c r="L49" s="84">
        <f t="shared" si="34"/>
        <v>0.59717692018866075</v>
      </c>
    </row>
    <row r="50" spans="1:12">
      <c r="A50" s="72" t="s">
        <v>31</v>
      </c>
      <c r="C50" s="24">
        <f>C16/C7</f>
        <v>0.29488772387042034</v>
      </c>
      <c r="D50" s="24">
        <f t="shared" ref="D50:G50" si="35">D16/D7</f>
        <v>0.31401003673237105</v>
      </c>
      <c r="E50" s="24">
        <f t="shared" si="35"/>
        <v>0.29930771732565165</v>
      </c>
      <c r="F50" s="24">
        <f t="shared" si="35"/>
        <v>0.30541237113402064</v>
      </c>
      <c r="G50" s="44">
        <f t="shared" si="35"/>
        <v>0.31042497387892615</v>
      </c>
      <c r="H50" s="24">
        <f t="shared" ref="H50:H52" si="36">AVERAGE(C50:G50)</f>
        <v>0.30480856458827799</v>
      </c>
      <c r="I50" s="24">
        <f t="shared" ref="I50:L50" si="37">H50</f>
        <v>0.30480856458827799</v>
      </c>
      <c r="J50" s="24">
        <f t="shared" si="37"/>
        <v>0.30480856458827799</v>
      </c>
      <c r="K50" s="24">
        <f t="shared" si="37"/>
        <v>0.30480856458827799</v>
      </c>
      <c r="L50" s="84">
        <f t="shared" si="37"/>
        <v>0.30480856458827799</v>
      </c>
    </row>
    <row r="51" spans="1:12">
      <c r="A51" s="72" t="s">
        <v>32</v>
      </c>
      <c r="C51" s="24">
        <f t="shared" ref="C51" si="38">C21/C7</f>
        <v>0.29606957786599591</v>
      </c>
      <c r="D51" s="24">
        <f t="shared" ref="D51:G51" si="39">D21/D7</f>
        <v>0.28736613378860781</v>
      </c>
      <c r="E51" s="24">
        <f t="shared" si="39"/>
        <v>0.28678622868559217</v>
      </c>
      <c r="F51" s="24">
        <f t="shared" si="39"/>
        <v>0.29128079678490304</v>
      </c>
      <c r="G51" s="44">
        <f t="shared" si="39"/>
        <v>0.30033904087681512</v>
      </c>
      <c r="H51" s="24">
        <f t="shared" si="36"/>
        <v>0.29236835560038277</v>
      </c>
      <c r="I51" s="24">
        <f t="shared" ref="I51:L51" si="40">H51</f>
        <v>0.29236835560038277</v>
      </c>
      <c r="J51" s="24">
        <f t="shared" si="40"/>
        <v>0.29236835560038277</v>
      </c>
      <c r="K51" s="24">
        <f t="shared" si="40"/>
        <v>0.29236835560038277</v>
      </c>
      <c r="L51" s="84">
        <f t="shared" si="40"/>
        <v>0.29236835560038277</v>
      </c>
    </row>
    <row r="52" spans="1:12">
      <c r="A52" s="72" t="s">
        <v>33</v>
      </c>
      <c r="C52" s="24">
        <f>C37/C34</f>
        <v>0.19451324061726044</v>
      </c>
      <c r="D52" s="24">
        <f t="shared" ref="D52:G52" si="41">D37/D34</f>
        <v>0.18572463185000401</v>
      </c>
      <c r="E52" s="24">
        <f t="shared" si="41"/>
        <v>0.19025192494580251</v>
      </c>
      <c r="F52" s="24">
        <f t="shared" si="41"/>
        <v>0.19002985489134208</v>
      </c>
      <c r="G52" s="44">
        <f t="shared" si="41"/>
        <v>0.18600404356616448</v>
      </c>
      <c r="H52" s="24">
        <f t="shared" si="36"/>
        <v>0.18930473917411469</v>
      </c>
      <c r="I52" s="24">
        <f t="shared" ref="I52:L55" si="42">H52</f>
        <v>0.18930473917411469</v>
      </c>
      <c r="J52" s="24">
        <f t="shared" si="42"/>
        <v>0.18930473917411469</v>
      </c>
      <c r="K52" s="24">
        <f t="shared" si="42"/>
        <v>0.18930473917411469</v>
      </c>
      <c r="L52" s="84">
        <f t="shared" si="42"/>
        <v>0.18930473917411469</v>
      </c>
    </row>
    <row r="53" spans="1:12">
      <c r="A53" s="72" t="s">
        <v>142</v>
      </c>
      <c r="C53" s="24">
        <f>C29/C7</f>
        <v>3.6182914633776785E-2</v>
      </c>
      <c r="D53" s="24">
        <f t="shared" ref="D53:G53" si="43">D29/D7</f>
        <v>3.7534274923689791E-2</v>
      </c>
      <c r="E53" s="24">
        <f t="shared" si="43"/>
        <v>3.4985829113041864E-2</v>
      </c>
      <c r="F53" s="24">
        <f t="shared" si="43"/>
        <v>4.0407129128079679E-2</v>
      </c>
      <c r="G53" s="44">
        <f t="shared" si="43"/>
        <v>3.9704032240868284E-2</v>
      </c>
      <c r="H53" s="24">
        <f t="shared" ref="H53" si="44">AVERAGE(C53:G53)</f>
        <v>3.7762836007891279E-2</v>
      </c>
      <c r="I53" s="24">
        <f t="shared" si="42"/>
        <v>3.7762836007891279E-2</v>
      </c>
      <c r="J53" s="24">
        <f t="shared" si="42"/>
        <v>3.7762836007891279E-2</v>
      </c>
      <c r="K53" s="24">
        <f t="shared" si="42"/>
        <v>3.7762836007891279E-2</v>
      </c>
      <c r="L53" s="84">
        <f t="shared" si="42"/>
        <v>3.7762836007891279E-2</v>
      </c>
    </row>
    <row r="54" spans="1:12">
      <c r="A54" s="72" t="s">
        <v>143</v>
      </c>
      <c r="C54" s="24">
        <f>C38/C7</f>
        <v>0.25625018939967875</v>
      </c>
      <c r="D54" s="24">
        <f t="shared" ref="D54:L54" si="45">D38/D7</f>
        <v>0.26175694552227224</v>
      </c>
      <c r="E54" s="24">
        <f t="shared" si="45"/>
        <v>0.25163778283696508</v>
      </c>
      <c r="F54" s="24">
        <f t="shared" si="45"/>
        <v>0.2548051721125284</v>
      </c>
      <c r="G54" s="44">
        <f t="shared" si="45"/>
        <v>0.2661364266370983</v>
      </c>
      <c r="H54" s="24">
        <f t="shared" ca="1" si="45"/>
        <v>0.25552000449004758</v>
      </c>
      <c r="I54" s="24">
        <f t="shared" ca="1" si="45"/>
        <v>0.25717589220987547</v>
      </c>
      <c r="J54" s="24">
        <f t="shared" ca="1" si="45"/>
        <v>0.2624358494348224</v>
      </c>
      <c r="K54" s="24">
        <f t="shared" ca="1" si="45"/>
        <v>0.26777613343125761</v>
      </c>
      <c r="L54" s="84">
        <f t="shared" ca="1" si="45"/>
        <v>0.27223620447470748</v>
      </c>
    </row>
    <row r="55" spans="1:12">
      <c r="A55" s="72" t="s">
        <v>34</v>
      </c>
      <c r="C55" s="24">
        <f>C39/C38</f>
        <v>2.4834437086092716E-3</v>
      </c>
      <c r="D55" s="24">
        <f t="shared" ref="D55:G55" si="46">D39/D38</f>
        <v>3.2611918173732581E-3</v>
      </c>
      <c r="E55" s="24">
        <f t="shared" si="46"/>
        <v>2.6772525849335302E-3</v>
      </c>
      <c r="F55" s="24">
        <f t="shared" si="46"/>
        <v>-9.4291102348705643E-4</v>
      </c>
      <c r="G55" s="44">
        <f t="shared" si="46"/>
        <v>1.4421921320407018E-3</v>
      </c>
      <c r="H55" s="24">
        <f t="shared" ref="H55" si="47">AVERAGE(C55:G55)</f>
        <v>1.7842338438939411E-3</v>
      </c>
      <c r="I55" s="24">
        <f t="shared" si="42"/>
        <v>1.7842338438939411E-3</v>
      </c>
      <c r="J55" s="24">
        <f t="shared" si="42"/>
        <v>1.7842338438939411E-3</v>
      </c>
      <c r="K55" s="24">
        <f t="shared" si="42"/>
        <v>1.7842338438939411E-3</v>
      </c>
      <c r="L55" s="84">
        <f t="shared" si="42"/>
        <v>1.7842338438939411E-3</v>
      </c>
    </row>
    <row r="56" spans="1:12">
      <c r="A56" s="72" t="s">
        <v>148</v>
      </c>
      <c r="C56" s="13">
        <f>C57+C21</f>
        <v>11306</v>
      </c>
      <c r="D56" s="13">
        <f t="shared" ref="D56:E56" si="48">D57+D21</f>
        <v>12561</v>
      </c>
      <c r="E56" s="13">
        <f t="shared" si="48"/>
        <v>13605</v>
      </c>
      <c r="F56" s="13">
        <f>F57+F21</f>
        <v>14464</v>
      </c>
      <c r="G56" s="38">
        <f>G57+G21</f>
        <v>15160</v>
      </c>
      <c r="H56" s="13">
        <f t="shared" ref="H56:L56" ca="1" si="49">H57+H21</f>
        <v>16421.114488387368</v>
      </c>
      <c r="I56" s="13">
        <f t="shared" ca="1" si="49"/>
        <v>18215.468844451945</v>
      </c>
      <c r="J56" s="13">
        <f t="shared" ca="1" si="49"/>
        <v>20091.214426203434</v>
      </c>
      <c r="K56" s="13">
        <f t="shared" ca="1" si="49"/>
        <v>22036.680066771536</v>
      </c>
      <c r="L56" s="212">
        <f t="shared" si="49"/>
        <v>23950.598754502127</v>
      </c>
    </row>
    <row r="57" spans="1:12">
      <c r="A57" s="72" t="s">
        <v>35</v>
      </c>
      <c r="C57" s="58">
        <v>1536</v>
      </c>
      <c r="D57" s="58">
        <v>1452</v>
      </c>
      <c r="E57" s="58">
        <v>1260</v>
      </c>
      <c r="F57" s="58">
        <v>1128</v>
      </c>
      <c r="G57" s="54">
        <v>1075</v>
      </c>
      <c r="H57" s="34">
        <f ca="1">Capex!H13</f>
        <v>1122.3583708970141</v>
      </c>
      <c r="I57" s="34">
        <f ca="1">Capex!I13</f>
        <v>1187.1028266247458</v>
      </c>
      <c r="J57" s="34">
        <f ca="1">Capex!J13</f>
        <v>1246.7464693216571</v>
      </c>
      <c r="K57" s="34">
        <f ca="1">Capex!K13</f>
        <v>1316.6385013821928</v>
      </c>
      <c r="L57" s="225">
        <f>Capex!L13</f>
        <v>1327.9670887950651</v>
      </c>
    </row>
    <row r="58" spans="1:12">
      <c r="A58" s="72" t="s">
        <v>99</v>
      </c>
      <c r="C58" s="24">
        <f>C56/C7</f>
        <v>0.34261644292251281</v>
      </c>
      <c r="D58" s="24">
        <f t="shared" ref="D58:L58" si="50">D56/D7</f>
        <v>0.32492627657923329</v>
      </c>
      <c r="E58" s="24">
        <f t="shared" si="50"/>
        <v>0.31605724109092598</v>
      </c>
      <c r="F58" s="24">
        <f t="shared" si="50"/>
        <v>0.31591822470732134</v>
      </c>
      <c r="G58" s="44">
        <f t="shared" si="50"/>
        <v>0.3232616158816129</v>
      </c>
      <c r="H58" s="24">
        <f t="shared" ca="1" si="50"/>
        <v>0.31381729359072924</v>
      </c>
      <c r="I58" s="24">
        <f t="shared" ca="1" si="50"/>
        <v>0.3127503054002338</v>
      </c>
      <c r="J58" s="24">
        <f t="shared" ca="1" si="50"/>
        <v>0.31171139122867397</v>
      </c>
      <c r="K58" s="24">
        <f t="shared" ca="1" si="50"/>
        <v>0.31094666937231419</v>
      </c>
      <c r="L58" s="84">
        <f t="shared" si="50"/>
        <v>0.30953061858462194</v>
      </c>
    </row>
    <row r="59" spans="1:12">
      <c r="A59" s="72" t="s">
        <v>115</v>
      </c>
      <c r="C59" s="13">
        <f>C43*C45</f>
        <v>7089.7199999999993</v>
      </c>
      <c r="D59" s="13">
        <f t="shared" ref="D59:L59" si="51">D43*D45</f>
        <v>7291.2</v>
      </c>
      <c r="E59" s="13">
        <f t="shared" si="51"/>
        <v>7656</v>
      </c>
      <c r="F59" s="13">
        <f t="shared" si="51"/>
        <v>7983.76</v>
      </c>
      <c r="G59" s="38">
        <f t="shared" si="51"/>
        <v>8380.7999999999993</v>
      </c>
      <c r="H59" s="13">
        <f t="shared" ca="1" si="51"/>
        <v>9685.1351508155367</v>
      </c>
      <c r="I59" s="13">
        <f t="shared" ca="1" si="51"/>
        <v>10849.953810352419</v>
      </c>
      <c r="J59" s="13">
        <f t="shared" ca="1" si="51"/>
        <v>12252.6971294093</v>
      </c>
      <c r="K59" s="13">
        <f t="shared" ca="1" si="51"/>
        <v>13746.342045297208</v>
      </c>
      <c r="L59" s="212">
        <f t="shared" ca="1" si="51"/>
        <v>15258.563987801446</v>
      </c>
    </row>
    <row r="60" spans="1:12" ht="16" thickBot="1">
      <c r="A60" s="105" t="s">
        <v>154</v>
      </c>
      <c r="B60" s="157"/>
      <c r="C60" s="85"/>
      <c r="D60" s="229">
        <f>D23/AVERAGE('Balance Sheet'!C6:D6)</f>
        <v>3.3497178226834151E-2</v>
      </c>
      <c r="E60" s="229">
        <f>E23/AVERAGE('Balance Sheet'!D6:E6)</f>
        <v>4.6763526532312659E-2</v>
      </c>
      <c r="F60" s="229">
        <f>F23/AVERAGE('Balance Sheet'!E6:F6)</f>
        <v>9.6055070161503844E-2</v>
      </c>
      <c r="G60" s="230">
        <f>G23/AVERAGE('Balance Sheet'!F6:G6)</f>
        <v>9.7850846786174117E-2</v>
      </c>
      <c r="H60" s="229">
        <f>G60</f>
        <v>9.7850846786174117E-2</v>
      </c>
      <c r="I60" s="229">
        <f t="shared" ref="I60:L60" si="52">H60</f>
        <v>9.7850846786174117E-2</v>
      </c>
      <c r="J60" s="229">
        <f t="shared" si="52"/>
        <v>9.7850846786174117E-2</v>
      </c>
      <c r="K60" s="229">
        <f t="shared" si="52"/>
        <v>9.7850846786174117E-2</v>
      </c>
      <c r="L60" s="231">
        <f t="shared" si="52"/>
        <v>9.7850846786174117E-2</v>
      </c>
    </row>
    <row r="61" spans="1:12">
      <c r="G61" s="13"/>
    </row>
    <row r="62" spans="1:12">
      <c r="G62" s="13"/>
    </row>
    <row r="63" spans="1:12">
      <c r="G63" s="13"/>
    </row>
    <row r="64" spans="1:12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</sheetData>
  <mergeCells count="3">
    <mergeCell ref="A2:A3"/>
    <mergeCell ref="H2:L2"/>
    <mergeCell ref="C2:G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3C2C-ECCD-45C9-98B4-B4C32BC7ABEF}">
  <sheetPr>
    <tabColor theme="9" tint="0.39997558519241921"/>
  </sheetPr>
  <dimension ref="A1:Y53"/>
  <sheetViews>
    <sheetView showGridLines="0" zoomScale="81" zoomScaleNormal="81" workbookViewId="0">
      <selection activeCell="Q39" sqref="Q39"/>
    </sheetView>
  </sheetViews>
  <sheetFormatPr baseColWidth="10" defaultColWidth="8.83203125" defaultRowHeight="15"/>
  <cols>
    <col min="1" max="1" width="42.5" customWidth="1"/>
    <col min="2" max="2" width="11.5" style="4" customWidth="1"/>
    <col min="3" max="11" width="11.5" style="5" customWidth="1"/>
    <col min="12" max="12" width="11.5" customWidth="1"/>
    <col min="13" max="13" width="10" customWidth="1"/>
  </cols>
  <sheetData>
    <row r="1" spans="1:12" ht="50" customHeight="1" thickBot="1">
      <c r="A1" s="194"/>
      <c r="B1" s="195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2" spans="1:12">
      <c r="A2" s="314" t="s">
        <v>1</v>
      </c>
      <c r="B2" s="260"/>
      <c r="C2" s="332" t="s">
        <v>4</v>
      </c>
      <c r="D2" s="332"/>
      <c r="E2" s="332"/>
      <c r="F2" s="332"/>
      <c r="G2" s="333"/>
      <c r="H2" s="312" t="s">
        <v>3</v>
      </c>
      <c r="I2" s="312"/>
      <c r="J2" s="312"/>
      <c r="K2" s="312"/>
      <c r="L2" s="313"/>
    </row>
    <row r="3" spans="1:12" ht="16" thickBot="1">
      <c r="A3" s="315"/>
      <c r="B3" s="261" t="s">
        <v>2</v>
      </c>
      <c r="C3" s="92">
        <f t="shared" ref="C3:D3" ca="1" si="0">D3-1</f>
        <v>2020</v>
      </c>
      <c r="D3" s="92">
        <f t="shared" ca="1" si="0"/>
        <v>2021</v>
      </c>
      <c r="E3" s="92">
        <f ca="1">F3-1</f>
        <v>2022</v>
      </c>
      <c r="F3" s="92">
        <f t="shared" ref="F3:G3" ca="1" si="1">G3-1</f>
        <v>2023</v>
      </c>
      <c r="G3" s="218">
        <f t="shared" ca="1" si="1"/>
        <v>2024</v>
      </c>
      <c r="H3" s="92">
        <f t="shared" ref="H3:K3" ca="1" si="2">G3+1</f>
        <v>2025</v>
      </c>
      <c r="I3" s="92">
        <f t="shared" ca="1" si="2"/>
        <v>2026</v>
      </c>
      <c r="J3" s="92">
        <f t="shared" ca="1" si="2"/>
        <v>2027</v>
      </c>
      <c r="K3" s="92">
        <f t="shared" ca="1" si="2"/>
        <v>2028</v>
      </c>
      <c r="L3" s="93">
        <f ca="1">K3+1</f>
        <v>2029</v>
      </c>
    </row>
    <row r="4" spans="1:12">
      <c r="A4" s="187"/>
      <c r="B4" s="254"/>
      <c r="C4" s="208"/>
      <c r="D4" s="208"/>
      <c r="E4" s="208"/>
      <c r="F4" s="208"/>
      <c r="G4" s="63"/>
      <c r="H4" s="208"/>
      <c r="I4" s="208"/>
      <c r="J4" s="208"/>
      <c r="K4" s="208"/>
      <c r="L4" s="219"/>
    </row>
    <row r="5" spans="1:12">
      <c r="A5" s="243" t="s">
        <v>6</v>
      </c>
      <c r="B5" s="255"/>
      <c r="C5" s="56">
        <v>6057</v>
      </c>
      <c r="D5" s="56">
        <v>7193</v>
      </c>
      <c r="E5" s="56">
        <v>7523</v>
      </c>
      <c r="F5" s="56">
        <v>8078</v>
      </c>
      <c r="G5" s="54">
        <v>8122</v>
      </c>
      <c r="H5" s="11">
        <f>G5*(1+H8)</f>
        <v>9359.4477306263925</v>
      </c>
      <c r="I5" s="11">
        <f t="shared" ref="I5:L5" si="3">H5*(1+I8)</f>
        <v>10662.920567038442</v>
      </c>
      <c r="J5" s="11">
        <f t="shared" si="3"/>
        <v>12008.354631436363</v>
      </c>
      <c r="K5" s="11">
        <f t="shared" si="3"/>
        <v>13366.371994222181</v>
      </c>
      <c r="L5" s="211">
        <f t="shared" si="3"/>
        <v>14703.009193644401</v>
      </c>
    </row>
    <row r="6" spans="1:12" s="8" customFormat="1" ht="12">
      <c r="A6" s="244" t="s">
        <v>14</v>
      </c>
      <c r="B6" s="256"/>
      <c r="C6" s="61"/>
      <c r="D6" s="12">
        <f>D5/C5-1</f>
        <v>0.18755159319795278</v>
      </c>
      <c r="E6" s="12">
        <f t="shared" ref="E6:G6" si="4">E5/D5-1</f>
        <v>4.5877936883080839E-2</v>
      </c>
      <c r="F6" s="12">
        <f t="shared" si="4"/>
        <v>7.3773760467898519E-2</v>
      </c>
      <c r="G6" s="27">
        <f t="shared" si="4"/>
        <v>5.4468927952462387E-3</v>
      </c>
      <c r="H6" s="12"/>
      <c r="I6" s="12"/>
      <c r="J6" s="12"/>
      <c r="K6" s="12"/>
      <c r="L6" s="245"/>
    </row>
    <row r="7" spans="1:12" s="8" customFormat="1" ht="12">
      <c r="A7" s="244" t="s">
        <v>126</v>
      </c>
      <c r="B7" s="256"/>
      <c r="C7" s="61"/>
      <c r="D7" s="57">
        <v>-0.01</v>
      </c>
      <c r="E7" s="57">
        <v>0.124</v>
      </c>
      <c r="F7" s="57">
        <v>0.12</v>
      </c>
      <c r="G7" s="55">
        <v>0.16</v>
      </c>
      <c r="L7" s="245"/>
    </row>
    <row r="8" spans="1:12" s="8" customFormat="1" ht="12">
      <c r="A8" s="244" t="s">
        <v>127</v>
      </c>
      <c r="B8" s="256"/>
      <c r="C8" s="61"/>
      <c r="D8" s="12">
        <f>D6+D7</f>
        <v>0.17755159319795277</v>
      </c>
      <c r="E8" s="12">
        <f>E6+E7</f>
        <v>0.16987793688308084</v>
      </c>
      <c r="F8" s="12">
        <f>F6+F7</f>
        <v>0.19377376046789851</v>
      </c>
      <c r="G8" s="27">
        <f>G6+G7</f>
        <v>0.16544689279524624</v>
      </c>
      <c r="H8" s="246">
        <f>G8-($G$8-$L$8)/5</f>
        <v>0.15235751423619701</v>
      </c>
      <c r="I8" s="246">
        <f t="shared" ref="I8:K8" si="5">H8-($G$8-$L$8)/5</f>
        <v>0.13926813567714777</v>
      </c>
      <c r="J8" s="246">
        <f t="shared" si="5"/>
        <v>0.12617875711809853</v>
      </c>
      <c r="K8" s="246">
        <f t="shared" si="5"/>
        <v>0.11308937855904928</v>
      </c>
      <c r="L8" s="297">
        <v>0.1</v>
      </c>
    </row>
    <row r="9" spans="1:12" s="8" customFormat="1" ht="12">
      <c r="A9" s="244"/>
      <c r="B9" s="256"/>
      <c r="C9" s="61"/>
      <c r="D9" s="12"/>
      <c r="E9" s="12"/>
      <c r="F9" s="12"/>
      <c r="G9" s="27"/>
      <c r="H9" s="12"/>
      <c r="I9" s="12"/>
      <c r="J9" s="12"/>
      <c r="K9" s="12"/>
      <c r="L9" s="245"/>
    </row>
    <row r="10" spans="1:12">
      <c r="A10" s="243" t="s">
        <v>7</v>
      </c>
      <c r="B10" s="255"/>
      <c r="C10" s="56">
        <v>3499</v>
      </c>
      <c r="D10" s="56">
        <v>4143</v>
      </c>
      <c r="E10" s="56">
        <v>4910</v>
      </c>
      <c r="F10" s="56">
        <v>5830</v>
      </c>
      <c r="G10" s="54">
        <v>6459</v>
      </c>
      <c r="H10" s="11">
        <f>G10*(1+H13)</f>
        <v>7920.7503602058314</v>
      </c>
      <c r="I10" s="11">
        <f t="shared" ref="I10:L10" si="6">H10*(1+I13)</f>
        <v>9542.3983241752449</v>
      </c>
      <c r="J10" s="11">
        <f t="shared" si="6"/>
        <v>11290.146682760893</v>
      </c>
      <c r="K10" s="11">
        <f t="shared" si="6"/>
        <v>13114.386506973715</v>
      </c>
      <c r="L10" s="211">
        <f t="shared" si="6"/>
        <v>14950.400617950036</v>
      </c>
    </row>
    <row r="11" spans="1:12">
      <c r="A11" s="244" t="s">
        <v>14</v>
      </c>
      <c r="B11" s="255"/>
      <c r="C11" s="39"/>
      <c r="D11" s="12">
        <f>D10/C10-1</f>
        <v>0.18405258645327227</v>
      </c>
      <c r="E11" s="12">
        <f t="shared" ref="E11" si="7">E10/D10-1</f>
        <v>0.18513154718802793</v>
      </c>
      <c r="F11" s="12">
        <f t="shared" ref="F11:G11" si="8">F10/E10-1</f>
        <v>0.18737270875763756</v>
      </c>
      <c r="G11" s="27">
        <f t="shared" si="8"/>
        <v>0.10789022298456263</v>
      </c>
      <c r="H11" s="12"/>
      <c r="I11" s="12"/>
      <c r="J11" s="12"/>
      <c r="K11" s="12"/>
      <c r="L11" s="144"/>
    </row>
    <row r="12" spans="1:12">
      <c r="A12" s="244" t="s">
        <v>126</v>
      </c>
      <c r="B12" s="255"/>
      <c r="C12" s="39"/>
      <c r="D12" s="57">
        <v>0</v>
      </c>
      <c r="E12" s="57">
        <v>0.06</v>
      </c>
      <c r="F12" s="57">
        <v>0.03</v>
      </c>
      <c r="G12" s="55">
        <v>0.14000000000000001</v>
      </c>
      <c r="H12" s="12"/>
      <c r="I12" s="12"/>
      <c r="J12" s="12"/>
      <c r="K12" s="12"/>
      <c r="L12" s="144"/>
    </row>
    <row r="13" spans="1:12">
      <c r="A13" s="244" t="s">
        <v>127</v>
      </c>
      <c r="B13" s="255"/>
      <c r="C13" s="39"/>
      <c r="D13" s="12">
        <f t="shared" ref="D13" si="9">D11+D12</f>
        <v>0.18405258645327227</v>
      </c>
      <c r="E13" s="12">
        <f>E11+E12</f>
        <v>0.24513154718802793</v>
      </c>
      <c r="F13" s="12">
        <f>F11+F12</f>
        <v>0.21737270875763756</v>
      </c>
      <c r="G13" s="27">
        <f>G11+G12</f>
        <v>0.24789022298456265</v>
      </c>
      <c r="H13" s="246">
        <f>G13-($G$13-$L$13)/5</f>
        <v>0.22631217838765011</v>
      </c>
      <c r="I13" s="246">
        <f t="shared" ref="I13:K13" si="10">H13-($G$13-$L$13)/5</f>
        <v>0.20473413379073757</v>
      </c>
      <c r="J13" s="246">
        <f t="shared" si="10"/>
        <v>0.18315608919382503</v>
      </c>
      <c r="K13" s="246">
        <f t="shared" si="10"/>
        <v>0.1615780445969125</v>
      </c>
      <c r="L13" s="297">
        <v>0.14000000000000001</v>
      </c>
    </row>
    <row r="14" spans="1:12">
      <c r="A14" s="244"/>
      <c r="B14" s="255"/>
      <c r="C14" s="39"/>
      <c r="D14" s="12"/>
      <c r="E14" s="12"/>
      <c r="F14" s="12"/>
      <c r="G14" s="27"/>
      <c r="H14" s="12"/>
      <c r="I14" s="12"/>
      <c r="J14" s="12"/>
      <c r="K14" s="12"/>
      <c r="L14" s="144"/>
    </row>
    <row r="15" spans="1:12">
      <c r="A15" s="243" t="s">
        <v>8</v>
      </c>
      <c r="B15" s="255"/>
      <c r="C15" s="56">
        <v>11477</v>
      </c>
      <c r="D15" s="56">
        <v>13190</v>
      </c>
      <c r="E15" s="56">
        <v>15674</v>
      </c>
      <c r="F15" s="56">
        <v>16774</v>
      </c>
      <c r="G15" s="54">
        <v>18649</v>
      </c>
      <c r="H15" s="11">
        <f>G15*(1+H18)</f>
        <v>20577.756203886969</v>
      </c>
      <c r="I15" s="11">
        <f t="shared" ref="I15:L15" si="11">H15*(1+I18)</f>
        <v>22534.044008892626</v>
      </c>
      <c r="J15" s="11">
        <f t="shared" si="11"/>
        <v>24488.017258164498</v>
      </c>
      <c r="K15" s="11">
        <f t="shared" si="11"/>
        <v>26406.801004150249</v>
      </c>
      <c r="L15" s="211">
        <f t="shared" si="11"/>
        <v>28255.277074440768</v>
      </c>
    </row>
    <row r="16" spans="1:12">
      <c r="A16" s="244" t="s">
        <v>14</v>
      </c>
      <c r="B16" s="255"/>
      <c r="C16" s="39"/>
      <c r="D16" s="12">
        <f>D15/C15-1</f>
        <v>0.14925503180273592</v>
      </c>
      <c r="E16" s="12">
        <f t="shared" ref="E16" si="12">E15/D15-1</f>
        <v>0.18832448824867321</v>
      </c>
      <c r="F16" s="12">
        <f t="shared" ref="F16:G16" si="13">F15/E15-1</f>
        <v>7.0179915784100988E-2</v>
      </c>
      <c r="G16" s="27">
        <f t="shared" si="13"/>
        <v>0.11178013592464531</v>
      </c>
      <c r="H16" s="12"/>
      <c r="I16" s="12"/>
      <c r="J16" s="12"/>
      <c r="K16" s="12"/>
      <c r="L16" s="144"/>
    </row>
    <row r="17" spans="1:12">
      <c r="A17" s="244" t="s">
        <v>126</v>
      </c>
      <c r="B17" s="255"/>
      <c r="C17" s="39"/>
      <c r="D17" s="57">
        <v>0</v>
      </c>
      <c r="E17" s="57">
        <v>-0.06</v>
      </c>
      <c r="F17" s="57">
        <v>0</v>
      </c>
      <c r="G17" s="55">
        <v>0</v>
      </c>
      <c r="H17" s="12"/>
      <c r="I17" s="12"/>
      <c r="J17" s="12"/>
      <c r="K17" s="12"/>
      <c r="L17" s="144"/>
    </row>
    <row r="18" spans="1:12">
      <c r="A18" s="244" t="s">
        <v>127</v>
      </c>
      <c r="B18" s="255"/>
      <c r="C18" s="39"/>
      <c r="D18" s="12">
        <f t="shared" ref="D18" si="14">D16+D17</f>
        <v>0.14925503180273592</v>
      </c>
      <c r="E18" s="12">
        <f>E16+E17</f>
        <v>0.12832448824867321</v>
      </c>
      <c r="F18" s="12">
        <f>F16+F17</f>
        <v>7.0179915784100988E-2</v>
      </c>
      <c r="G18" s="27">
        <f>G16+G17</f>
        <v>0.11178013592464531</v>
      </c>
      <c r="H18" s="246">
        <f>G18-($G$18-$L$18)/5</f>
        <v>0.10342410873971625</v>
      </c>
      <c r="I18" s="246">
        <f>H18-($G$18-$L$18)/5</f>
        <v>9.5068081554787187E-2</v>
      </c>
      <c r="J18" s="246">
        <f t="shared" ref="J18:K18" si="15">I18-($G$18-$L$18)/5</f>
        <v>8.6712054369858127E-2</v>
      </c>
      <c r="K18" s="246">
        <f t="shared" si="15"/>
        <v>7.8356027184929067E-2</v>
      </c>
      <c r="L18" s="297">
        <v>7.0000000000000007E-2</v>
      </c>
    </row>
    <row r="19" spans="1:12">
      <c r="A19" s="244"/>
      <c r="B19" s="255"/>
      <c r="C19" s="39"/>
      <c r="D19" s="12"/>
      <c r="E19" s="12"/>
      <c r="F19" s="12"/>
      <c r="G19" s="27"/>
      <c r="H19" s="12"/>
      <c r="I19" s="12"/>
      <c r="J19" s="12"/>
      <c r="K19" s="12"/>
      <c r="L19" s="144"/>
    </row>
    <row r="20" spans="1:12">
      <c r="A20" s="243" t="s">
        <v>9</v>
      </c>
      <c r="B20" s="255"/>
      <c r="C20" s="56">
        <v>4722</v>
      </c>
      <c r="D20" s="56">
        <v>5291</v>
      </c>
      <c r="E20" s="56">
        <v>5445</v>
      </c>
      <c r="F20" s="56">
        <v>5455</v>
      </c>
      <c r="G20" s="54">
        <v>5546</v>
      </c>
      <c r="H20" s="11">
        <f>G20*(1+H23)</f>
        <v>5841.8544454628782</v>
      </c>
      <c r="I20" s="11">
        <f t="shared" ref="I20:L20" si="16">H20*(1+I23)</f>
        <v>6192.4192580609115</v>
      </c>
      <c r="J20" s="11">
        <f t="shared" si="16"/>
        <v>6605.2850480071538</v>
      </c>
      <c r="K20" s="11">
        <f t="shared" si="16"/>
        <v>7089.6927993280096</v>
      </c>
      <c r="L20" s="211">
        <f t="shared" si="16"/>
        <v>7656.8682232742512</v>
      </c>
    </row>
    <row r="21" spans="1:12">
      <c r="A21" s="244" t="s">
        <v>14</v>
      </c>
      <c r="B21" s="255"/>
      <c r="C21" s="39"/>
      <c r="D21" s="12">
        <f>D20/C20-1</f>
        <v>0.12049978822532825</v>
      </c>
      <c r="E21" s="12">
        <f t="shared" ref="E21" si="17">E20/D20-1</f>
        <v>2.9106029106028997E-2</v>
      </c>
      <c r="F21" s="12">
        <f t="shared" ref="F21:G21" si="18">F20/E20-1</f>
        <v>1.8365472910928382E-3</v>
      </c>
      <c r="G21" s="27">
        <f t="shared" si="18"/>
        <v>1.668194317140248E-2</v>
      </c>
      <c r="H21" s="12"/>
      <c r="I21" s="12"/>
      <c r="J21" s="12"/>
      <c r="K21" s="12"/>
      <c r="L21" s="144"/>
    </row>
    <row r="22" spans="1:12">
      <c r="A22" s="244" t="s">
        <v>126</v>
      </c>
      <c r="B22" s="255"/>
      <c r="C22" s="39"/>
      <c r="D22" s="57">
        <v>-0.03</v>
      </c>
      <c r="E22" s="57">
        <v>0.08</v>
      </c>
      <c r="F22" s="57">
        <v>0.04</v>
      </c>
      <c r="G22" s="55">
        <v>0.03</v>
      </c>
      <c r="H22" s="12"/>
      <c r="I22" s="12"/>
      <c r="J22" s="12"/>
      <c r="K22" s="12"/>
      <c r="L22" s="144"/>
    </row>
    <row r="23" spans="1:12">
      <c r="A23" s="244" t="s">
        <v>127</v>
      </c>
      <c r="B23" s="255"/>
      <c r="C23" s="39"/>
      <c r="D23" s="12">
        <f>D21+D22</f>
        <v>9.0499788225328254E-2</v>
      </c>
      <c r="E23" s="12">
        <f>E21+E22</f>
        <v>0.109106029106029</v>
      </c>
      <c r="F23" s="12">
        <f>F21+F22</f>
        <v>4.1836547291092839E-2</v>
      </c>
      <c r="G23" s="27">
        <f>G21+G22</f>
        <v>4.6681943171402479E-2</v>
      </c>
      <c r="H23" s="246">
        <f>G23-($G$23-$L$23)/5</f>
        <v>5.3345554537121982E-2</v>
      </c>
      <c r="I23" s="246">
        <f t="shared" ref="I23:K23" si="19">H23-($G$23-$L$23)/5</f>
        <v>6.0009165902841485E-2</v>
      </c>
      <c r="J23" s="246">
        <f t="shared" si="19"/>
        <v>6.6672777268560995E-2</v>
      </c>
      <c r="K23" s="246">
        <f t="shared" si="19"/>
        <v>7.3336388634280505E-2</v>
      </c>
      <c r="L23" s="297">
        <v>0.08</v>
      </c>
    </row>
    <row r="24" spans="1:12">
      <c r="A24" s="244"/>
      <c r="B24" s="255"/>
      <c r="C24" s="39"/>
      <c r="D24" s="12"/>
      <c r="E24" s="12"/>
      <c r="F24" s="12"/>
      <c r="G24" s="27"/>
      <c r="H24" s="12"/>
      <c r="I24" s="12"/>
      <c r="J24" s="12"/>
      <c r="K24" s="12"/>
      <c r="L24" s="144"/>
    </row>
    <row r="25" spans="1:12">
      <c r="A25" s="243" t="s">
        <v>10</v>
      </c>
      <c r="B25" s="255"/>
      <c r="C25" s="56">
        <v>1991</v>
      </c>
      <c r="D25" s="56">
        <v>2805</v>
      </c>
      <c r="E25" s="56">
        <v>2843</v>
      </c>
      <c r="F25" s="56">
        <v>3064</v>
      </c>
      <c r="G25" s="54">
        <v>3129</v>
      </c>
      <c r="H25" s="11">
        <f>G25*(1+H28)</f>
        <v>3332.3849999999998</v>
      </c>
      <c r="I25" s="11">
        <f t="shared" ref="I25:L25" si="20">H25*(1+I28)</f>
        <v>3548.9900249999996</v>
      </c>
      <c r="J25" s="11">
        <f t="shared" si="20"/>
        <v>3779.6743766249992</v>
      </c>
      <c r="K25" s="11">
        <f t="shared" si="20"/>
        <v>4025.3532111056238</v>
      </c>
      <c r="L25" s="211">
        <f t="shared" si="20"/>
        <v>4287.0011698274893</v>
      </c>
    </row>
    <row r="26" spans="1:12">
      <c r="A26" s="244" t="s">
        <v>14</v>
      </c>
      <c r="B26" s="255"/>
      <c r="C26" s="39"/>
      <c r="D26" s="12">
        <f>D25/C25-1</f>
        <v>0.40883977900552493</v>
      </c>
      <c r="E26" s="12">
        <f t="shared" ref="E26" si="21">E25/D25-1</f>
        <v>1.3547237076648733E-2</v>
      </c>
      <c r="F26" s="12">
        <f t="shared" ref="F26:G26" si="22">F25/E25-1</f>
        <v>7.773478719662319E-2</v>
      </c>
      <c r="G26" s="27">
        <f t="shared" si="22"/>
        <v>2.1214099216710247E-2</v>
      </c>
      <c r="H26" s="12"/>
      <c r="I26" s="12"/>
      <c r="J26" s="12"/>
      <c r="K26" s="12"/>
      <c r="L26" s="144"/>
    </row>
    <row r="27" spans="1:12">
      <c r="A27" s="244" t="s">
        <v>126</v>
      </c>
      <c r="B27" s="255"/>
      <c r="C27" s="39"/>
      <c r="D27" s="57">
        <v>-0.08</v>
      </c>
      <c r="E27" s="57">
        <v>0.12</v>
      </c>
      <c r="F27" s="57">
        <v>0</v>
      </c>
      <c r="G27" s="55">
        <v>-0.02</v>
      </c>
      <c r="H27" s="12"/>
      <c r="I27" s="12"/>
      <c r="J27" s="12"/>
      <c r="K27" s="12"/>
      <c r="L27" s="144"/>
    </row>
    <row r="28" spans="1:12">
      <c r="A28" s="244" t="s">
        <v>127</v>
      </c>
      <c r="B28" s="255"/>
      <c r="C28" s="39"/>
      <c r="D28" s="12">
        <f>D26+D27</f>
        <v>0.32883977900552491</v>
      </c>
      <c r="E28" s="12">
        <f>E26+E27</f>
        <v>0.13354723707664873</v>
      </c>
      <c r="F28" s="12">
        <f>F26+F27</f>
        <v>7.773478719662319E-2</v>
      </c>
      <c r="G28" s="27">
        <f>G26+G27</f>
        <v>1.2140992167102467E-3</v>
      </c>
      <c r="H28" s="57">
        <v>6.5000000000000002E-2</v>
      </c>
      <c r="I28" s="57">
        <v>6.5000000000000002E-2</v>
      </c>
      <c r="J28" s="57">
        <v>6.5000000000000002E-2</v>
      </c>
      <c r="K28" s="57">
        <v>6.5000000000000002E-2</v>
      </c>
      <c r="L28" s="298">
        <v>6.5000000000000002E-2</v>
      </c>
    </row>
    <row r="29" spans="1:12">
      <c r="A29" s="244"/>
      <c r="B29" s="255"/>
      <c r="C29" s="39"/>
      <c r="D29" s="12"/>
      <c r="E29" s="12"/>
      <c r="F29" s="12"/>
      <c r="G29" s="27"/>
      <c r="H29" s="12"/>
      <c r="I29" s="12"/>
      <c r="J29" s="12"/>
      <c r="K29" s="12"/>
      <c r="L29" s="144"/>
    </row>
    <row r="30" spans="1:12">
      <c r="A30" s="243" t="s">
        <v>11</v>
      </c>
      <c r="B30" s="255"/>
      <c r="C30" s="56">
        <v>6265</v>
      </c>
      <c r="D30" s="56">
        <v>7203</v>
      </c>
      <c r="E30" s="56">
        <v>7891</v>
      </c>
      <c r="F30" s="56">
        <v>7860</v>
      </c>
      <c r="G30" s="54">
        <v>6223</v>
      </c>
      <c r="H30" s="11">
        <f>G30*(1+H33)</f>
        <v>6795.5160000000005</v>
      </c>
      <c r="I30" s="11">
        <f t="shared" ref="I30:L30" si="23">H30*(1+I33)</f>
        <v>7420.7034720000011</v>
      </c>
      <c r="J30" s="11">
        <f t="shared" si="23"/>
        <v>8103.4081914240014</v>
      </c>
      <c r="K30" s="11">
        <f t="shared" si="23"/>
        <v>8848.9217450350097</v>
      </c>
      <c r="L30" s="211">
        <f t="shared" si="23"/>
        <v>9663.0225455782311</v>
      </c>
    </row>
    <row r="31" spans="1:12">
      <c r="A31" s="244" t="s">
        <v>14</v>
      </c>
      <c r="B31" s="255"/>
      <c r="C31" s="39"/>
      <c r="D31" s="12">
        <f>D30/C30-1</f>
        <v>0.14972067039106141</v>
      </c>
      <c r="E31" s="12">
        <f t="shared" ref="E31" si="24">E30/D30-1</f>
        <v>9.5515757323337391E-2</v>
      </c>
      <c r="F31" s="12">
        <f t="shared" ref="F31:G31" si="25">F30/E30-1</f>
        <v>-3.9285261690533702E-3</v>
      </c>
      <c r="G31" s="27">
        <f t="shared" si="25"/>
        <v>-0.20826972010178113</v>
      </c>
      <c r="H31" s="12"/>
      <c r="I31" s="12"/>
      <c r="J31" s="12"/>
      <c r="K31" s="12"/>
      <c r="L31" s="144"/>
    </row>
    <row r="32" spans="1:12">
      <c r="A32" s="244" t="s">
        <v>126</v>
      </c>
      <c r="B32" s="255"/>
      <c r="C32" s="39"/>
      <c r="D32" s="57">
        <v>-0.02</v>
      </c>
      <c r="E32" s="57">
        <v>0.09</v>
      </c>
      <c r="F32" s="57">
        <v>0.14000000000000001</v>
      </c>
      <c r="G32" s="55">
        <v>0.3</v>
      </c>
      <c r="H32" s="12"/>
      <c r="I32" s="12"/>
      <c r="J32" s="12"/>
      <c r="K32" s="12"/>
      <c r="L32" s="144"/>
    </row>
    <row r="33" spans="1:14">
      <c r="A33" s="244" t="s">
        <v>127</v>
      </c>
      <c r="B33" s="255"/>
      <c r="C33" s="39"/>
      <c r="D33" s="12">
        <f>D31+D32</f>
        <v>0.12972067039106142</v>
      </c>
      <c r="E33" s="12">
        <f>E31+E32</f>
        <v>0.18551575732333739</v>
      </c>
      <c r="F33" s="59">
        <f>F32+F31</f>
        <v>0.13607147383094664</v>
      </c>
      <c r="G33" s="28">
        <f>G32+G31</f>
        <v>9.1730279898218858E-2</v>
      </c>
      <c r="H33" s="57">
        <v>9.1999999999999998E-2</v>
      </c>
      <c r="I33" s="57">
        <v>9.1999999999999998E-2</v>
      </c>
      <c r="J33" s="57">
        <v>9.1999999999999998E-2</v>
      </c>
      <c r="K33" s="57">
        <v>9.1999999999999998E-2</v>
      </c>
      <c r="L33" s="298">
        <v>9.1999999999999998E-2</v>
      </c>
    </row>
    <row r="34" spans="1:14">
      <c r="A34" s="244"/>
      <c r="B34" s="255"/>
      <c r="C34" s="39"/>
      <c r="D34" s="12"/>
      <c r="E34" s="12"/>
      <c r="F34" s="59"/>
      <c r="G34" s="27"/>
      <c r="H34" s="12"/>
      <c r="I34" s="12"/>
      <c r="J34" s="12"/>
      <c r="K34" s="12"/>
      <c r="L34" s="144"/>
    </row>
    <row r="35" spans="1:14">
      <c r="A35" s="243" t="s">
        <v>12</v>
      </c>
      <c r="B35" s="255"/>
      <c r="C35" s="56">
        <v>46</v>
      </c>
      <c r="D35" s="56">
        <v>85</v>
      </c>
      <c r="E35" s="56">
        <v>94</v>
      </c>
      <c r="F35" s="56">
        <v>126</v>
      </c>
      <c r="G35" s="54">
        <v>97</v>
      </c>
      <c r="H35" s="11">
        <f>G35*(1+H38)</f>
        <v>117.64111968808491</v>
      </c>
      <c r="I35" s="11">
        <f t="shared" ref="I35:L35" si="26">H35*(1+I38)</f>
        <v>142.69867818164701</v>
      </c>
      <c r="J35" s="11">
        <f t="shared" si="26"/>
        <v>173.09349663433784</v>
      </c>
      <c r="K35" s="11">
        <f t="shared" si="26"/>
        <v>209.96241141745182</v>
      </c>
      <c r="L35" s="211">
        <f t="shared" si="26"/>
        <v>254.68440504936908</v>
      </c>
    </row>
    <row r="36" spans="1:14">
      <c r="A36" s="244" t="s">
        <v>14</v>
      </c>
      <c r="B36" s="255"/>
      <c r="C36" s="39"/>
      <c r="D36" s="12">
        <f>D35/C35-1</f>
        <v>0.84782608695652173</v>
      </c>
      <c r="E36" s="12">
        <f t="shared" ref="E36" si="27">E35/D35-1</f>
        <v>0.10588235294117654</v>
      </c>
      <c r="F36" s="12">
        <f t="shared" ref="F36:G36" si="28">F35/E35-1</f>
        <v>0.34042553191489366</v>
      </c>
      <c r="G36" s="27">
        <f t="shared" si="28"/>
        <v>-0.23015873015873012</v>
      </c>
      <c r="H36" s="12"/>
      <c r="I36" s="12"/>
      <c r="J36" s="12"/>
      <c r="K36" s="12"/>
      <c r="L36" s="247"/>
      <c r="M36" s="9"/>
      <c r="N36" s="9"/>
    </row>
    <row r="37" spans="1:14">
      <c r="A37" s="244" t="s">
        <v>126</v>
      </c>
      <c r="B37" s="255"/>
      <c r="C37" s="58">
        <v>0</v>
      </c>
      <c r="D37" s="58">
        <v>0</v>
      </c>
      <c r="E37" s="58">
        <v>0</v>
      </c>
      <c r="F37" s="58">
        <v>0</v>
      </c>
      <c r="G37" s="27"/>
      <c r="H37" s="12"/>
      <c r="I37" s="12"/>
      <c r="J37" s="12"/>
      <c r="K37" s="12"/>
      <c r="L37" s="247"/>
      <c r="M37" s="9"/>
      <c r="N37" s="9"/>
    </row>
    <row r="38" spans="1:14">
      <c r="A38" s="244" t="s">
        <v>127</v>
      </c>
      <c r="B38" s="255"/>
      <c r="C38" s="12">
        <f t="shared" ref="C38:E38" si="29">C36+C37</f>
        <v>0</v>
      </c>
      <c r="D38" s="12">
        <f t="shared" si="29"/>
        <v>0.84782608695652173</v>
      </c>
      <c r="E38" s="12">
        <f t="shared" si="29"/>
        <v>0.10588235294117654</v>
      </c>
      <c r="F38" s="12">
        <f>F36+F37</f>
        <v>0.34042553191489366</v>
      </c>
      <c r="G38" s="27">
        <f>G36+G37</f>
        <v>-0.23015873015873012</v>
      </c>
      <c r="H38" s="12">
        <f>AVERAGE(C38:G38)</f>
        <v>0.2127950483307724</v>
      </c>
      <c r="I38" s="57">
        <v>0.21299999999999999</v>
      </c>
      <c r="J38" s="57">
        <v>0.21299999999999999</v>
      </c>
      <c r="K38" s="57">
        <v>0.21299999999999999</v>
      </c>
      <c r="L38" s="298">
        <v>0.21299999999999999</v>
      </c>
      <c r="M38" s="9"/>
      <c r="N38" s="9"/>
    </row>
    <row r="39" spans="1:14" s="1" customFormat="1">
      <c r="A39" s="248" t="s">
        <v>128</v>
      </c>
      <c r="B39" s="257"/>
      <c r="C39" s="62">
        <f t="shared" ref="C39:L39" si="30">C35+C30+C25+C20+C15+C10+C5</f>
        <v>34057</v>
      </c>
      <c r="D39" s="30">
        <f t="shared" si="30"/>
        <v>39910</v>
      </c>
      <c r="E39" s="30">
        <f t="shared" si="30"/>
        <v>44380</v>
      </c>
      <c r="F39" s="30">
        <f t="shared" si="30"/>
        <v>47187</v>
      </c>
      <c r="G39" s="31">
        <f t="shared" si="30"/>
        <v>48225</v>
      </c>
      <c r="H39" s="30">
        <f t="shared" si="30"/>
        <v>53945.350859870152</v>
      </c>
      <c r="I39" s="30">
        <f t="shared" si="30"/>
        <v>60044.17433334887</v>
      </c>
      <c r="J39" s="30">
        <f t="shared" si="30"/>
        <v>66447.979685052254</v>
      </c>
      <c r="K39" s="30">
        <f t="shared" si="30"/>
        <v>73061.489672232245</v>
      </c>
      <c r="L39" s="249">
        <f t="shared" si="30"/>
        <v>79770.263229764547</v>
      </c>
      <c r="M39" s="29"/>
      <c r="N39" s="29"/>
    </row>
    <row r="40" spans="1:14">
      <c r="A40" s="244"/>
      <c r="B40" s="255"/>
      <c r="C40" s="12"/>
      <c r="D40" s="12"/>
      <c r="E40" s="12"/>
      <c r="F40" s="12"/>
      <c r="G40" s="27"/>
      <c r="H40" s="12"/>
      <c r="I40" s="12"/>
      <c r="J40" s="12"/>
      <c r="K40" s="12"/>
      <c r="L40" s="247"/>
      <c r="M40" s="9"/>
      <c r="N40" s="9"/>
    </row>
    <row r="41" spans="1:14">
      <c r="A41" s="243" t="s">
        <v>13</v>
      </c>
      <c r="B41" s="255"/>
      <c r="C41" s="56">
        <v>-1043</v>
      </c>
      <c r="D41" s="56">
        <v>-1255</v>
      </c>
      <c r="E41" s="56">
        <v>-1376</v>
      </c>
      <c r="F41" s="56">
        <v>-1433</v>
      </c>
      <c r="G41" s="54">
        <v>-1164</v>
      </c>
      <c r="H41" s="13">
        <f>-H42*H39</f>
        <v>-1618.3605257961044</v>
      </c>
      <c r="I41" s="13">
        <f t="shared" ref="I41:L41" si="31">-I42*I39</f>
        <v>-1801.325230000466</v>
      </c>
      <c r="J41" s="13">
        <f t="shared" si="31"/>
        <v>-1993.4393905515676</v>
      </c>
      <c r="K41" s="13">
        <f t="shared" si="31"/>
        <v>-2191.8446901669672</v>
      </c>
      <c r="L41" s="212">
        <f t="shared" si="31"/>
        <v>-2393.1078968929364</v>
      </c>
    </row>
    <row r="42" spans="1:14">
      <c r="A42" s="243" t="s">
        <v>129</v>
      </c>
      <c r="B42" s="255"/>
      <c r="C42" s="14">
        <f>-C41/C39</f>
        <v>3.0625128461109315E-2</v>
      </c>
      <c r="D42" s="14">
        <f t="shared" ref="D42:F42" si="32">-D41/D39</f>
        <v>3.1445752944124279E-2</v>
      </c>
      <c r="E42" s="14">
        <f t="shared" si="32"/>
        <v>3.1004957187922486E-2</v>
      </c>
      <c r="F42" s="14">
        <f t="shared" si="32"/>
        <v>3.0368533706317417E-2</v>
      </c>
      <c r="G42" s="32">
        <f>-G41/G39</f>
        <v>2.4136858475894245E-2</v>
      </c>
      <c r="H42" s="295">
        <v>0.03</v>
      </c>
      <c r="I42" s="295">
        <v>0.03</v>
      </c>
      <c r="J42" s="295">
        <v>0.03</v>
      </c>
      <c r="K42" s="295">
        <v>0.03</v>
      </c>
      <c r="L42" s="296">
        <v>0.03</v>
      </c>
    </row>
    <row r="43" spans="1:14">
      <c r="A43" s="244"/>
      <c r="B43" s="255"/>
      <c r="C43" s="60"/>
      <c r="D43" s="60"/>
      <c r="E43" s="60"/>
      <c r="F43" s="60"/>
      <c r="G43" s="32"/>
      <c r="H43" s="14"/>
      <c r="I43" s="14"/>
      <c r="J43" s="14"/>
      <c r="K43" s="14"/>
      <c r="L43" s="144"/>
    </row>
    <row r="44" spans="1:14">
      <c r="A44" s="244"/>
      <c r="B44" s="255"/>
      <c r="C44" s="14"/>
      <c r="D44" s="14"/>
      <c r="E44" s="14"/>
      <c r="F44" s="14"/>
      <c r="G44" s="32"/>
      <c r="H44" s="14"/>
      <c r="I44" s="14"/>
      <c r="J44" s="14"/>
      <c r="K44" s="14"/>
      <c r="L44" s="144"/>
    </row>
    <row r="45" spans="1:14">
      <c r="A45" s="222" t="s">
        <v>5</v>
      </c>
      <c r="B45" s="258"/>
      <c r="C45" s="16">
        <f t="shared" ref="C45:E45" si="33">C39+C41</f>
        <v>33014</v>
      </c>
      <c r="D45" s="16">
        <f t="shared" si="33"/>
        <v>38655</v>
      </c>
      <c r="E45" s="16">
        <f t="shared" si="33"/>
        <v>43004</v>
      </c>
      <c r="F45" s="16">
        <f>F39+F41</f>
        <v>45754</v>
      </c>
      <c r="G45" s="47">
        <f>G39+G41</f>
        <v>47061</v>
      </c>
      <c r="H45" s="16">
        <f>H39+H41</f>
        <v>52326.990334074049</v>
      </c>
      <c r="I45" s="16">
        <f t="shared" ref="I45:L45" si="34">I39+I41</f>
        <v>58242.849103348402</v>
      </c>
      <c r="J45" s="16">
        <f t="shared" si="34"/>
        <v>64454.540294500686</v>
      </c>
      <c r="K45" s="16">
        <f t="shared" si="34"/>
        <v>70869.644982065278</v>
      </c>
      <c r="L45" s="223">
        <f t="shared" si="34"/>
        <v>77377.155332871611</v>
      </c>
    </row>
    <row r="46" spans="1:14" ht="16" thickBot="1">
      <c r="A46" s="105"/>
      <c r="B46" s="259"/>
      <c r="C46" s="250"/>
      <c r="D46" s="251">
        <f>D45/C45-1</f>
        <v>0.17086690494941537</v>
      </c>
      <c r="E46" s="251">
        <f t="shared" ref="E46" si="35">E45/D45-1</f>
        <v>0.11250808433579107</v>
      </c>
      <c r="F46" s="251">
        <f t="shared" ref="F46" si="36">F45/E45-1</f>
        <v>6.3947539763743011E-2</v>
      </c>
      <c r="G46" s="252">
        <f>G45/F45-1</f>
        <v>2.8565808453905772E-2</v>
      </c>
      <c r="H46" s="251">
        <f>H45/G45-1</f>
        <v>0.11189711935730329</v>
      </c>
      <c r="I46" s="251">
        <f t="shared" ref="I46:L46" si="37">I45/H45-1</f>
        <v>0.11305559007895183</v>
      </c>
      <c r="J46" s="251">
        <f t="shared" si="37"/>
        <v>0.10665156816298627</v>
      </c>
      <c r="K46" s="251">
        <f t="shared" si="37"/>
        <v>9.952913570173938E-2</v>
      </c>
      <c r="L46" s="253">
        <f t="shared" si="37"/>
        <v>9.1823662337424894E-2</v>
      </c>
    </row>
    <row r="47" spans="1:14">
      <c r="C47" s="7"/>
      <c r="D47" s="7"/>
      <c r="E47" s="7"/>
      <c r="F47" s="7"/>
    </row>
    <row r="53" spans="25:25">
      <c r="Y53" t="s">
        <v>0</v>
      </c>
    </row>
  </sheetData>
  <mergeCells count="3">
    <mergeCell ref="A2:A3"/>
    <mergeCell ref="C2:G2"/>
    <mergeCell ref="H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</vt:lpstr>
      <vt:lpstr>Cost of equity</vt:lpstr>
      <vt:lpstr>Cost of debt</vt:lpstr>
      <vt:lpstr>CFS</vt:lpstr>
      <vt:lpstr>Balance Sheet</vt:lpstr>
      <vt:lpstr>Debt</vt:lpstr>
      <vt:lpstr>Capex</vt:lpstr>
      <vt:lpstr>P&amp;L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Prathmesh Sanjay DESAI</cp:lastModifiedBy>
  <dcterms:created xsi:type="dcterms:W3CDTF">2024-08-09T04:00:47Z</dcterms:created>
  <dcterms:modified xsi:type="dcterms:W3CDTF">2025-06-21T01:58:29Z</dcterms:modified>
</cp:coreProperties>
</file>